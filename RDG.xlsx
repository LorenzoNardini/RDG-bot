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720429C3-65DD-4E89-92A2-5B7D06CC7FE0}" xr6:coauthVersionLast="47" xr6:coauthVersionMax="47" xr10:uidLastSave="{00000000-0000-0000-0000-000000000000}"/>
  <bookViews>
    <workbookView xWindow="14295" yWindow="0" windowWidth="14610" windowHeight="15585" activeTab="3" xr2:uid="{A2B0F26F-929F-4651-BBC1-3517FFDDB49C}"/>
  </bookViews>
  <sheets>
    <sheet name="Data" sheetId="1" r:id="rId1"/>
    <sheet name="Ricette" sheetId="2" r:id="rId2"/>
    <sheet name="calcs" sheetId="3" state="hidden" r:id="rId3"/>
    <sheet name="RD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 a="1"/>
  <c r="C4" i="3" s="1"/>
  <c r="K4" i="3" s="1"/>
  <c r="B15" i="3" s="1" a="1"/>
  <c r="B15" i="3" s="1"/>
  <c r="D4" i="3" a="1"/>
  <c r="D4" i="3" s="1"/>
  <c r="D5" i="3" s="1" a="1"/>
  <c r="D5" i="3" s="1"/>
  <c r="E4" i="3" a="1"/>
  <c r="E4" i="3" s="1"/>
  <c r="M4" i="3" s="1"/>
  <c r="B17" i="3" s="1" a="1"/>
  <c r="B17" i="3" s="1"/>
  <c r="F4" i="3" a="1"/>
  <c r="F4" i="3" s="1"/>
  <c r="N4" i="3" s="1"/>
  <c r="B18" i="3" s="1" a="1"/>
  <c r="B18" i="3" s="1"/>
  <c r="G4" i="3" a="1"/>
  <c r="G4" i="3" s="1"/>
  <c r="O4" i="3" s="1"/>
  <c r="B19" i="3" s="1" a="1"/>
  <c r="B19" i="3" s="1"/>
  <c r="B4" i="3" a="1"/>
  <c r="B4" i="3" s="1"/>
  <c r="R4" i="3" a="1"/>
  <c r="R4" i="3" s="1"/>
  <c r="H3" i="3"/>
  <c r="B10" i="4" s="1"/>
  <c r="E5" i="3" l="1" a="1"/>
  <c r="E5" i="3" s="1"/>
  <c r="E6" i="3" s="1" a="1"/>
  <c r="E6" i="3" s="1"/>
  <c r="M6" i="3" s="1"/>
  <c r="C5" i="3" a="1"/>
  <c r="C5" i="3" s="1"/>
  <c r="C6" i="3" s="1" a="1"/>
  <c r="C6" i="3" s="1"/>
  <c r="D6" i="3" a="1"/>
  <c r="D6" i="3" s="1"/>
  <c r="L6" i="3" s="1"/>
  <c r="B28" i="3" s="1" a="1"/>
  <c r="B28" i="3" s="1"/>
  <c r="F5" i="3" a="1"/>
  <c r="F5" i="3" s="1"/>
  <c r="N5" i="3" s="1"/>
  <c r="B24" i="3" s="1" a="1"/>
  <c r="B24" i="3" s="1"/>
  <c r="G5" i="3" a="1"/>
  <c r="G5" i="3" s="1"/>
  <c r="O5" i="3" s="1"/>
  <c r="B25" i="3" s="1" a="1"/>
  <c r="B25" i="3" s="1"/>
  <c r="B5" i="3" a="1"/>
  <c r="B5" i="3" s="1"/>
  <c r="J5" i="3" s="1"/>
  <c r="B20" i="3" s="1" a="1"/>
  <c r="B20" i="3" s="1"/>
  <c r="L5" i="3"/>
  <c r="L4" i="3"/>
  <c r="J4" i="3"/>
  <c r="G6" i="3" l="1" a="1"/>
  <c r="G6" i="3" s="1"/>
  <c r="O6" i="3" s="1"/>
  <c r="F6" i="3" a="1"/>
  <c r="F6" i="3" s="1"/>
  <c r="N6" i="3" s="1"/>
  <c r="B29" i="3" a="1"/>
  <c r="B29" i="3" s="1"/>
  <c r="M5" i="3"/>
  <c r="B23" i="3" s="1" a="1"/>
  <c r="B23" i="3" s="1"/>
  <c r="B6" i="3" a="1"/>
  <c r="B6" i="3" s="1"/>
  <c r="J6" i="3" s="1"/>
  <c r="K5" i="3"/>
  <c r="B21" i="3" s="1" a="1"/>
  <c r="B21" i="3" s="1"/>
  <c r="K6" i="3"/>
  <c r="B16" i="3" a="1"/>
  <c r="B16" i="3" s="1"/>
  <c r="B22" i="3" a="1"/>
  <c r="B22" i="3" s="1"/>
  <c r="B14" i="3" a="1"/>
  <c r="B14" i="3" s="1"/>
  <c r="B31" i="3" l="1" a="1"/>
  <c r="B31" i="3" s="1"/>
  <c r="B30" i="3" a="1"/>
  <c r="B30" i="3" s="1"/>
  <c r="B26" i="3" a="1"/>
  <c r="B26" i="3" s="1"/>
  <c r="P3" i="3"/>
  <c r="Q5" i="3" s="1" a="1"/>
  <c r="Q5" i="3" s="1"/>
  <c r="B27" i="3" a="1"/>
  <c r="B27" i="3" s="1"/>
  <c r="C14" i="3"/>
  <c r="Q7" i="3" l="1" a="1"/>
  <c r="Q7" i="3" s="1"/>
  <c r="Q8" i="3" a="1"/>
  <c r="Q8" i="3" s="1"/>
  <c r="Q4" i="3" a="1"/>
  <c r="Q4" i="3" s="1"/>
  <c r="D14" i="3" s="1" a="1"/>
  <c r="D14" i="3" s="1"/>
  <c r="Q11" i="3" a="1"/>
  <c r="Q11" i="3" s="1"/>
  <c r="Q10" i="3" a="1"/>
  <c r="Q10" i="3" s="1"/>
  <c r="Q6" i="3" a="1"/>
  <c r="Q6" i="3" s="1"/>
  <c r="Q13" i="3" a="1"/>
  <c r="Q13" i="3" s="1"/>
  <c r="S4" i="3" a="1"/>
  <c r="S4" i="3" s="1"/>
  <c r="Q9" i="3" a="1"/>
  <c r="Q9" i="3" s="1"/>
  <c r="Q12" i="3" a="1"/>
  <c r="Q12" i="3" s="1"/>
  <c r="C15" i="3"/>
  <c r="C16" i="3" l="1"/>
  <c r="D15" i="3" a="1"/>
  <c r="D15" i="3" s="1"/>
  <c r="C17" i="3" l="1"/>
  <c r="D16" i="3" a="1"/>
  <c r="D16" i="3" s="1"/>
  <c r="C18" i="3" l="1"/>
  <c r="C19" i="3" s="1"/>
  <c r="C20" i="3" s="1"/>
  <c r="D17" i="3" a="1"/>
  <c r="D17" i="3" s="1"/>
  <c r="D19" i="3" l="1" a="1"/>
  <c r="D19" i="3" s="1"/>
  <c r="D18" i="3" a="1"/>
  <c r="D18" i="3" s="1"/>
  <c r="C21" i="3"/>
  <c r="D20" i="3" a="1"/>
  <c r="D20" i="3" s="1"/>
  <c r="C22" i="3" l="1"/>
  <c r="C23" i="3" s="1"/>
  <c r="D21" i="3" a="1"/>
  <c r="D21" i="3" s="1"/>
  <c r="D22" i="3" l="1" a="1"/>
  <c r="D22" i="3" s="1"/>
  <c r="C24" i="3"/>
  <c r="D23" i="3" a="1"/>
  <c r="D23" i="3" s="1"/>
  <c r="C25" i="3" l="1"/>
  <c r="D24" i="3" a="1"/>
  <c r="D24" i="3" s="1"/>
  <c r="C26" i="3" l="1"/>
  <c r="D25" i="3" a="1"/>
  <c r="D25" i="3" s="1"/>
  <c r="C27" i="3" l="1"/>
  <c r="D26" i="3" a="1"/>
  <c r="D26" i="3" s="1"/>
  <c r="C28" i="3" l="1"/>
  <c r="C29" i="3" s="1"/>
  <c r="D27" i="3" a="1"/>
  <c r="D27" i="3" s="1"/>
  <c r="D28" i="3" l="1" a="1"/>
  <c r="D28" i="3" s="1"/>
  <c r="C30" i="3"/>
  <c r="C31" i="3" s="1"/>
  <c r="D31" i="3" s="1" a="1"/>
  <c r="D31" i="3" s="1"/>
  <c r="D29" i="3" a="1"/>
  <c r="D29" i="3" s="1"/>
  <c r="D30" i="3" l="1" a="1"/>
  <c r="D30" i="3" s="1"/>
  <c r="B11" i="4" s="1" a="1"/>
  <c r="B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<sst xmlns="http://schemas.openxmlformats.org/spreadsheetml/2006/main" count="603" uniqueCount="234">
  <si>
    <t xml:space="preserve"> Salmone croccantino con pistacchio</t>
  </si>
  <si>
    <t xml:space="preserve"> Pasta e fagioli</t>
  </si>
  <si>
    <t xml:space="preserve"> Zuppa di ceci alla Lucia</t>
  </si>
  <si>
    <t xml:space="preserve"> Lenticchie con feta</t>
  </si>
  <si>
    <t xml:space="preserve"> Pollo al curry</t>
  </si>
  <si>
    <t xml:space="preserve"> Fonduta?</t>
  </si>
  <si>
    <t xml:space="preserve"> Polpette di carne e pane oppure senza pane</t>
  </si>
  <si>
    <t xml:space="preserve"> Serata hamburger</t>
  </si>
  <si>
    <t xml:space="preserve"> Pollo alla Giorgio</t>
  </si>
  <si>
    <t xml:space="preserve"> Spezzatino alla birra senza glutine e purè</t>
  </si>
  <si>
    <t xml:space="preserve"> Cose ancora da fare coi funghi: frittata e/o risotto</t>
  </si>
  <si>
    <t xml:space="preserve"> Pollo al curry Thai</t>
  </si>
  <si>
    <t xml:space="preserve"> Fettine di vitello panate e fagiolini (pochi)</t>
  </si>
  <si>
    <t xml:space="preserve"> Minestrone passato?</t>
  </si>
  <si>
    <t xml:space="preserve"> Fonduta con crudité</t>
  </si>
  <si>
    <t xml:space="preserve"> Polpette di carne</t>
  </si>
  <si>
    <t xml:space="preserve"> Mozzarella di bufala di Novitalia, prosciutto e pomodorini</t>
  </si>
  <si>
    <t xml:space="preserve"> Insalata con pomodori e mozzarella</t>
  </si>
  <si>
    <t xml:space="preserve"> Qualcosa con melanzane e feta (tipo ricetta dal libro whole cooking?)</t>
  </si>
  <si>
    <t xml:space="preserve"> Cosi di pasta sfoglia con cipolle caramellate e formaggio di capra</t>
  </si>
  <si>
    <t xml:space="preserve"> gyoza con salsa consigliata da Jay</t>
  </si>
  <si>
    <t xml:space="preserve"> Tortino di riso</t>
  </si>
  <si>
    <t xml:space="preserve"> Tofu scrumble</t>
  </si>
  <si>
    <t>carne e verdura per hot pot</t>
  </si>
  <si>
    <t xml:space="preserve">pollo arrosto e patate </t>
  </si>
  <si>
    <t>lenticchie con feta + insalata di pomodori</t>
  </si>
  <si>
    <t xml:space="preserve">pizzette di melanzane </t>
  </si>
  <si>
    <t xml:space="preserve">tonno e fagioli </t>
  </si>
  <si>
    <t xml:space="preserve">bistecchina al vino + broccolo al vapore in salsa yogurt </t>
  </si>
  <si>
    <t>Bastoncini di pesce e spinaci</t>
  </si>
  <si>
    <t xml:space="preserve">Spezzatino con purè </t>
  </si>
  <si>
    <t xml:space="preserve">Quello che abbiamo mangiato da Thom </t>
  </si>
  <si>
    <t xml:space="preserve">Insalata di riso </t>
  </si>
  <si>
    <t xml:space="preserve">Broccolo con salsa yogurt </t>
  </si>
  <si>
    <t>Zuppa di ceci buona che fai tu</t>
  </si>
  <si>
    <t xml:space="preserve"> Bastoncini di pesce</t>
  </si>
  <si>
    <t>Orate al forno</t>
  </si>
  <si>
    <t xml:space="preserve"> Cavolfiore con salsa al burro di arachidi </t>
  </si>
  <si>
    <t>Tacchino impanato e fagiolini</t>
  </si>
  <si>
    <t xml:space="preserve"> Zuppa di porro e patate (o simile) </t>
  </si>
  <si>
    <t>Carne rossa fatta col vino</t>
  </si>
  <si>
    <t xml:space="preserve"> Lenticchie (o normali o quelle arancioni) </t>
  </si>
  <si>
    <t xml:space="preserve"> Fettine panate + spinaci </t>
  </si>
  <si>
    <t xml:space="preserve"> Polpette di carne e fagiolini </t>
  </si>
  <si>
    <t xml:space="preserve"> Frittata di patate </t>
  </si>
  <si>
    <t xml:space="preserve"> Fettine panate e fagiolini </t>
  </si>
  <si>
    <t xml:space="preserve"> Pizzette di melanzane </t>
  </si>
  <si>
    <t xml:space="preserve"> Patate, broccolo e salsiccia! </t>
  </si>
  <si>
    <t xml:space="preserve"> Orate al forno o salmone croccantino e patate </t>
  </si>
  <si>
    <t xml:space="preserve"> Orate al forno con patate </t>
  </si>
  <si>
    <t xml:space="preserve"> Cotolette di vitello! </t>
  </si>
  <si>
    <t xml:space="preserve"> Pollo al limone leggermente diverso </t>
  </si>
  <si>
    <t xml:space="preserve"> Petti di pollo al limone con patate </t>
  </si>
  <si>
    <t xml:space="preserve"> Salmone con mostarda al miele </t>
  </si>
  <si>
    <t xml:space="preserve">  polli da fare al forno con patate per natale </t>
  </si>
  <si>
    <t xml:space="preserve"> Polenta al sugo con salsiccia </t>
  </si>
  <si>
    <t xml:space="preserve"> Pollo arrosto (verdura da aggiungere) </t>
  </si>
  <si>
    <t xml:space="preserve"> Broccolo al vapore con salsa yogurt </t>
  </si>
  <si>
    <t xml:space="preserve"> Pollo al forno e patate </t>
  </si>
  <si>
    <t xml:space="preserve"> Pollo al limone e pak choi </t>
  </si>
  <si>
    <t xml:space="preserve"> Salmone mostarda e miele con contorno di fagiolini </t>
  </si>
  <si>
    <t xml:space="preserve"> Polpette al sugo </t>
  </si>
  <si>
    <t xml:space="preserve"> Orate al forno e patate </t>
  </si>
  <si>
    <t xml:space="preserve"> Salmone croccantino con pistacchio </t>
  </si>
  <si>
    <t xml:space="preserve"> Frittata di zucchine </t>
  </si>
  <si>
    <t xml:space="preserve"> Zuppa di carote </t>
  </si>
  <si>
    <t xml:space="preserve"> Salmone mostarda al miele e patate </t>
  </si>
  <si>
    <t xml:space="preserve"> Salmone croccantino e patate </t>
  </si>
  <si>
    <t xml:space="preserve"> Orate al forno </t>
  </si>
  <si>
    <t xml:space="preserve"> Fettina di vitello panata, contorno: fagiolini </t>
  </si>
  <si>
    <t xml:space="preserve"> quelli tipo bastoncini di pesce </t>
  </si>
  <si>
    <t xml:space="preserve"> Pollo alla Giorgio </t>
  </si>
  <si>
    <t xml:space="preserve"> Spezzatino e purè </t>
  </si>
  <si>
    <t xml:space="preserve"> Salmone con mostarda e fagiolini </t>
  </si>
  <si>
    <t xml:space="preserve"> Pollo al forno </t>
  </si>
  <si>
    <t xml:space="preserve"> Salmone con mostarda e patate al forno </t>
  </si>
  <si>
    <t xml:space="preserve"> Gyoza in salsa Jay </t>
  </si>
  <si>
    <t xml:space="preserve"> Tortino di riso </t>
  </si>
  <si>
    <t xml:space="preserve"> Qualcosa coi funghi tipo frittata </t>
  </si>
  <si>
    <t xml:space="preserve"> Lenticchie e feta </t>
  </si>
  <si>
    <t xml:space="preserve"> Pollo al forno con patate </t>
  </si>
  <si>
    <t xml:space="preserve"> Frittata di zucchine o patate </t>
  </si>
  <si>
    <t xml:space="preserve"> Bocconcini di pollo al limone e patate al forno </t>
  </si>
  <si>
    <t xml:space="preserve"> Fettine di vitello panate e patate </t>
  </si>
  <si>
    <t xml:space="preserve"> Papate, broccolo e salsiccia </t>
  </si>
  <si>
    <t xml:space="preserve"> Zuppa di carote (la abbiamo già) </t>
  </si>
  <si>
    <t xml:space="preserve"> Serata burger </t>
  </si>
  <si>
    <t xml:space="preserve"> Bastoncini di pesce (dove trovo quelli con panatura no gluten?) </t>
  </si>
  <si>
    <t xml:space="preserve"> Cotolette di vitello </t>
  </si>
  <si>
    <t xml:space="preserve"> Frittata di patate o di zucchine </t>
  </si>
  <si>
    <t xml:space="preserve"> Zuppa di ceci </t>
  </si>
  <si>
    <t xml:space="preserve"> Zucchine ripiene </t>
  </si>
  <si>
    <t xml:space="preserve"> Patate, broccolo e salsiccia </t>
  </si>
  <si>
    <t xml:space="preserve"> Risotto allo zafferano </t>
  </si>
  <si>
    <t xml:space="preserve"> Serata hamburger </t>
  </si>
  <si>
    <t xml:space="preserve"> Patate, broccolo e salsiccia(se po' fa?) altrimenti polenta con salsiccia </t>
  </si>
  <si>
    <t xml:space="preserve"> Polpette di zucchine </t>
  </si>
  <si>
    <t xml:space="preserve"> Risotto al vino rosso </t>
  </si>
  <si>
    <t xml:space="preserve"> Bistecchina al pepe e fagiolini </t>
  </si>
  <si>
    <t xml:space="preserve"> Tacchino panato e fagiolini </t>
  </si>
  <si>
    <t xml:space="preserve"> Tonno e fagioli oppure pasta e fagioli (dovremmo già avere della pastina glutenfree) </t>
  </si>
  <si>
    <t xml:space="preserve"> Bistecchina al pepe e pakchoi </t>
  </si>
  <si>
    <t xml:space="preserve"> Risotto ai funghi </t>
  </si>
  <si>
    <t xml:space="preserve"> Bastoncini di pesce con friarelli </t>
  </si>
  <si>
    <t xml:space="preserve"> Spezzatine e purè </t>
  </si>
  <si>
    <t xml:space="preserve"> Vellutata di porro e cavolo nero </t>
  </si>
  <si>
    <t xml:space="preserve"> Fonduta con crudité? </t>
  </si>
  <si>
    <t xml:space="preserve"> Vellutata di cavolo nero </t>
  </si>
  <si>
    <t xml:space="preserve"> Pasta e fagioli </t>
  </si>
  <si>
    <t xml:space="preserve"> Pollo al limone (con anche riso?) </t>
  </si>
  <si>
    <t xml:space="preserve"> Risotto zucchine e zafferano </t>
  </si>
  <si>
    <t xml:space="preserve"> Risotto ai piselli </t>
  </si>
  <si>
    <t xml:space="preserve"> Zuppa di carote come la fai tu </t>
  </si>
  <si>
    <t xml:space="preserve"> Fettine panate e purè </t>
  </si>
  <si>
    <t xml:space="preserve"> Bocconcini di pollo al limone con patate al forno </t>
  </si>
  <si>
    <t xml:space="preserve"> Salmone panato croccante (ricetta dell'altra volta ma meglio spero) </t>
  </si>
  <si>
    <t xml:space="preserve"> Melanzane con melograno (ho visto che è considerato low in FODMAP) e un formaggio senza lattosio </t>
  </si>
  <si>
    <t xml:space="preserve"> Frittata ai funghi e formaggio </t>
  </si>
  <si>
    <t xml:space="preserve"> Tacchino impanato e asparagi? </t>
  </si>
  <si>
    <t xml:space="preserve"> Zuppa di cipolle (?) </t>
  </si>
  <si>
    <t xml:space="preserve"> Frittata ai funghi </t>
  </si>
  <si>
    <t xml:space="preserve"> Tacchino impanato e asparagi </t>
  </si>
  <si>
    <t xml:space="preserve"> Dal di lenticchie </t>
  </si>
  <si>
    <t xml:space="preserve"> Zuppa di ceci oppure quella porro e patate </t>
  </si>
  <si>
    <t xml:space="preserve"> Polenta e salsiccia </t>
  </si>
  <si>
    <t xml:space="preserve"> Zuppa di ceci alla Lucia </t>
  </si>
  <si>
    <t xml:space="preserve"> Lenticchie (con feta?) </t>
  </si>
  <si>
    <t xml:space="preserve"> Jackfruit al curry </t>
  </si>
  <si>
    <t xml:space="preserve"> Vellutata di cavolfiore e carote </t>
  </si>
  <si>
    <t xml:space="preserve"> pizzette di melanzane </t>
  </si>
  <si>
    <t xml:space="preserve"> Una zuppa di qualcosa? </t>
  </si>
  <si>
    <t xml:space="preserve"> Patate, salsiccia e broccoli </t>
  </si>
  <si>
    <t xml:space="preserve"> Tofu scramble </t>
  </si>
  <si>
    <t xml:space="preserve"> Spezzatino e puré, oppure polpette al pane </t>
  </si>
  <si>
    <t xml:space="preserve"> Tacchino impanato </t>
  </si>
  <si>
    <t xml:space="preserve"> Una bella zuppa tipo vellutata con porro e patate o piselli e menta </t>
  </si>
  <si>
    <t xml:space="preserve"> Pomodori al gratin </t>
  </si>
  <si>
    <t>Main Course</t>
  </si>
  <si>
    <t>Side</t>
  </si>
  <si>
    <t>Polpette di carne con pane</t>
  </si>
  <si>
    <t xml:space="preserve">pak choi </t>
  </si>
  <si>
    <t xml:space="preserve">Pizzette di melanzane </t>
  </si>
  <si>
    <t>Pollo al limone</t>
  </si>
  <si>
    <t>Polpette di carne al sugo mie</t>
  </si>
  <si>
    <t>Salmone croccantino con pistacchio</t>
  </si>
  <si>
    <t xml:space="preserve">Frittata di zucchine </t>
  </si>
  <si>
    <t xml:space="preserve">Lenticchie e feta </t>
  </si>
  <si>
    <t>Fettine panate</t>
  </si>
  <si>
    <t xml:space="preserve">Patate, broccolo e salsiccia </t>
  </si>
  <si>
    <t>Pollo al forno con patate</t>
  </si>
  <si>
    <t>Spezzatino alla birra con purè</t>
  </si>
  <si>
    <t xml:space="preserve">Orate al forno con patate </t>
  </si>
  <si>
    <t>Pasta e fagioli</t>
  </si>
  <si>
    <t>Glutenfree</t>
  </si>
  <si>
    <t>Vegetarian</t>
  </si>
  <si>
    <t>Vegan</t>
  </si>
  <si>
    <t>Requires side</t>
  </si>
  <si>
    <t xml:space="preserve">Frittata di patate </t>
  </si>
  <si>
    <t>Salmone mostarda e miele</t>
  </si>
  <si>
    <t xml:space="preserve">Vellutata di porro e cavolo nero </t>
  </si>
  <si>
    <t>Vellutata di porro e patate</t>
  </si>
  <si>
    <t>Bistecchina al pepe</t>
  </si>
  <si>
    <t>Zuppa di ceci alla Lucia</t>
  </si>
  <si>
    <t>Category</t>
  </si>
  <si>
    <t xml:space="preserve">Risotto allo zafferano </t>
  </si>
  <si>
    <t>Fonduta con crudité</t>
  </si>
  <si>
    <t xml:space="preserve">Serata hamburger </t>
  </si>
  <si>
    <t xml:space="preserve">Polenta e salsiccia </t>
  </si>
  <si>
    <t>Pollo al curry</t>
  </si>
  <si>
    <t>Pollo al curry verde con melanzane</t>
  </si>
  <si>
    <t xml:space="preserve">Zuppa di carote </t>
  </si>
  <si>
    <t xml:space="preserve">Pollo alla Giorgio </t>
  </si>
  <si>
    <t xml:space="preserve">Jackfruit al curry </t>
  </si>
  <si>
    <t>Vellutata di cavolfiore e carote</t>
  </si>
  <si>
    <t xml:space="preserve">Risotto al vino rosso </t>
  </si>
  <si>
    <t xml:space="preserve">Bastoncini di pesce </t>
  </si>
  <si>
    <t>Melanzane con melograno</t>
  </si>
  <si>
    <t>Tagliere di formaggi e salumi</t>
  </si>
  <si>
    <t>Tacchino panato</t>
  </si>
  <si>
    <t>Minestrone passato</t>
  </si>
  <si>
    <t xml:space="preserve">Tonno e fagioli </t>
  </si>
  <si>
    <t>Zuppa di cipolle</t>
  </si>
  <si>
    <t>Carne e verdura per hot pot</t>
  </si>
  <si>
    <t>insalata di pomodori</t>
  </si>
  <si>
    <t>Gyoza in salsa Jay</t>
  </si>
  <si>
    <t xml:space="preserve">Tofu scramble </t>
  </si>
  <si>
    <t>Cosi di pasta sfoglia con cipolle caramellate e formaggio di capra</t>
  </si>
  <si>
    <t xml:space="preserve">Tortino di riso </t>
  </si>
  <si>
    <t>friarelli</t>
  </si>
  <si>
    <t xml:space="preserve">Dal di lenticchie </t>
  </si>
  <si>
    <t xml:space="preserve">Zucchine ripiene </t>
  </si>
  <si>
    <t xml:space="preserve">Pomodori al gratin </t>
  </si>
  <si>
    <t xml:space="preserve">Cavolfiore con salsa al burro di arachidi </t>
  </si>
  <si>
    <t>Broccolo al vapore in salsa yogurt</t>
  </si>
  <si>
    <t>carne rossa</t>
  </si>
  <si>
    <t>carne bianca</t>
  </si>
  <si>
    <t>pesce</t>
  </si>
  <si>
    <t>uova</t>
  </si>
  <si>
    <t>legumi</t>
  </si>
  <si>
    <t>altro</t>
  </si>
  <si>
    <t>Sì</t>
  </si>
  <si>
    <t>No</t>
  </si>
  <si>
    <t>Number</t>
  </si>
  <si>
    <t>Contorno 1</t>
  </si>
  <si>
    <t>Contorno 2</t>
  </si>
  <si>
    <t>Contorno 3</t>
  </si>
  <si>
    <t>Contorno 4</t>
  </si>
  <si>
    <t>Contorno 5</t>
  </si>
  <si>
    <t>Contorno 6</t>
  </si>
  <si>
    <t>fagiolini</t>
  </si>
  <si>
    <t>spinaci</t>
  </si>
  <si>
    <t>RDG</t>
  </si>
  <si>
    <t>Random Dinner Generator</t>
  </si>
  <si>
    <t>Risotto ai funghi o piselli o zucchine</t>
  </si>
  <si>
    <t>piselli</t>
  </si>
  <si>
    <t>insalatina</t>
  </si>
  <si>
    <t>NoUse</t>
  </si>
  <si>
    <t>Arepe di pollo e avocado</t>
  </si>
  <si>
    <t>Pesce finto</t>
  </si>
  <si>
    <t>Bollito di carne con salsa nonna Gianna</t>
  </si>
  <si>
    <t>Lasagna al ragù</t>
  </si>
  <si>
    <t>Lasagna vegetariana</t>
  </si>
  <si>
    <t>Pescetto al limone con patate</t>
  </si>
  <si>
    <t>Salsiccia e cavolfiore lesso e ripassato in padella</t>
  </si>
  <si>
    <t>asparagi croccantini</t>
  </si>
  <si>
    <t>Riso al pollo al limone</t>
  </si>
  <si>
    <t>Risotto agli asparagi</t>
  </si>
  <si>
    <t>Cavolfiore alla cantonese</t>
  </si>
  <si>
    <t>Frittata ai funghi</t>
  </si>
  <si>
    <t>Frittata agli asparagi</t>
  </si>
  <si>
    <t>Caprese con prosciutto e melone</t>
  </si>
  <si>
    <t>Cosce di pollo in padella con patate</t>
  </si>
  <si>
    <t>Pollo allo yoguth con riso</t>
  </si>
  <si>
    <t>Chicken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</si>
</sst>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Segoe UI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EC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4" xfId="0" applyFill="1" applyBorder="1"/>
    <xf numFmtId="0" fontId="0" fillId="5" borderId="0" xfId="0" applyFill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0" fillId="0" borderId="0" xfId="1" applyNumberFormat="1" applyFont="1"/>
    <xf numFmtId="43" fontId="0" fillId="0" borderId="0" xfId="0" applyNumberFormat="1"/>
    <xf numFmtId="0" fontId="1" fillId="2" borderId="8" xfId="0" applyFont="1" applyFill="1" applyBorder="1" applyAlignment="1">
      <alignment vertical="center"/>
    </xf>
    <xf numFmtId="43" fontId="1" fillId="0" borderId="0" xfId="0" applyNumberFormat="1" applyFont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CCFF"/>
      <color rgb="FFCCECFF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CDDF-D238-42EC-B06B-D6882C3D2F8F}">
  <dimension ref="A1:I28"/>
  <sheetViews>
    <sheetView workbookViewId="0">
      <selection activeCell="Q1" sqref="Q1:X53"/>
    </sheetView>
  </sheetViews>
  <sheetFormatPr defaultRowHeight="15" x14ac:dyDescent="0.25"/>
  <cols>
    <col min="17" max="17" width="34" bestFit="1" customWidth="1"/>
    <col min="18" max="18" width="9.140625" bestFit="1" customWidth="1"/>
    <col min="19" max="19" width="14.5703125" bestFit="1" customWidth="1"/>
    <col min="20" max="20" width="10.85546875" bestFit="1" customWidth="1"/>
    <col min="21" max="21" width="10.5703125" bestFit="1" customWidth="1"/>
    <col min="22" max="22" width="6.42578125" bestFit="1" customWidth="1"/>
  </cols>
  <sheetData>
    <row r="1" spans="1:9" ht="17.25" x14ac:dyDescent="0.3">
      <c r="A1" s="1"/>
      <c r="B1" t="s">
        <v>42</v>
      </c>
      <c r="C1" t="s">
        <v>58</v>
      </c>
      <c r="D1" t="s">
        <v>79</v>
      </c>
      <c r="E1" t="s">
        <v>64</v>
      </c>
      <c r="F1" t="s">
        <v>104</v>
      </c>
      <c r="G1" t="s">
        <v>0</v>
      </c>
    </row>
    <row r="2" spans="1:9" ht="17.25" x14ac:dyDescent="0.3">
      <c r="A2" s="1"/>
      <c r="B2" t="s">
        <v>43</v>
      </c>
      <c r="C2" t="s">
        <v>59</v>
      </c>
      <c r="D2" t="s">
        <v>46</v>
      </c>
      <c r="E2" t="s">
        <v>92</v>
      </c>
      <c r="F2" t="s">
        <v>49</v>
      </c>
      <c r="G2" t="s">
        <v>1</v>
      </c>
    </row>
    <row r="3" spans="1:9" ht="17.25" x14ac:dyDescent="0.3">
      <c r="A3" s="1"/>
      <c r="B3" t="s">
        <v>44</v>
      </c>
      <c r="C3" t="s">
        <v>60</v>
      </c>
      <c r="D3" t="s">
        <v>80</v>
      </c>
      <c r="E3" t="s">
        <v>79</v>
      </c>
      <c r="F3" t="s">
        <v>105</v>
      </c>
      <c r="G3" t="s">
        <v>101</v>
      </c>
    </row>
    <row r="4" spans="1:9" ht="17.25" x14ac:dyDescent="0.3">
      <c r="A4" s="1"/>
      <c r="B4" t="s">
        <v>44</v>
      </c>
      <c r="C4" t="s">
        <v>61</v>
      </c>
      <c r="D4" t="s">
        <v>46</v>
      </c>
      <c r="E4" t="s">
        <v>82</v>
      </c>
      <c r="F4" t="s">
        <v>63</v>
      </c>
      <c r="G4" t="s">
        <v>92</v>
      </c>
      <c r="H4" t="s">
        <v>108</v>
      </c>
      <c r="I4" t="s">
        <v>2</v>
      </c>
    </row>
    <row r="5" spans="1:9" ht="17.25" x14ac:dyDescent="0.3">
      <c r="A5" s="1"/>
      <c r="B5" t="s">
        <v>45</v>
      </c>
      <c r="C5" t="s">
        <v>62</v>
      </c>
      <c r="D5" t="s">
        <v>81</v>
      </c>
      <c r="E5" t="s">
        <v>93</v>
      </c>
      <c r="F5" t="s">
        <v>106</v>
      </c>
      <c r="G5" t="s">
        <v>58</v>
      </c>
      <c r="H5" t="s">
        <v>3</v>
      </c>
    </row>
    <row r="6" spans="1:9" ht="17.25" x14ac:dyDescent="0.3">
      <c r="A6" s="1"/>
      <c r="B6" t="s">
        <v>46</v>
      </c>
      <c r="C6" t="s">
        <v>63</v>
      </c>
      <c r="D6" t="s">
        <v>82</v>
      </c>
      <c r="E6" t="s">
        <v>94</v>
      </c>
      <c r="F6" t="s">
        <v>107</v>
      </c>
      <c r="G6" t="s">
        <v>124</v>
      </c>
      <c r="H6" t="s">
        <v>4</v>
      </c>
    </row>
    <row r="7" spans="1:9" ht="17.25" x14ac:dyDescent="0.3">
      <c r="A7" s="1"/>
      <c r="B7" t="s">
        <v>47</v>
      </c>
      <c r="C7" t="s">
        <v>64</v>
      </c>
      <c r="D7" t="s">
        <v>83</v>
      </c>
      <c r="E7" t="s">
        <v>62</v>
      </c>
      <c r="F7" t="s">
        <v>108</v>
      </c>
      <c r="G7" t="s">
        <v>125</v>
      </c>
      <c r="H7" t="s">
        <v>5</v>
      </c>
    </row>
    <row r="8" spans="1:9" ht="17.25" x14ac:dyDescent="0.3">
      <c r="A8" s="1"/>
      <c r="B8" t="s">
        <v>48</v>
      </c>
      <c r="C8" t="s">
        <v>65</v>
      </c>
      <c r="D8" t="s">
        <v>84</v>
      </c>
      <c r="E8" t="s">
        <v>64</v>
      </c>
      <c r="F8" t="s">
        <v>71</v>
      </c>
      <c r="G8" t="s">
        <v>126</v>
      </c>
      <c r="H8" t="s">
        <v>6</v>
      </c>
    </row>
    <row r="9" spans="1:9" ht="17.25" x14ac:dyDescent="0.3">
      <c r="A9" s="1"/>
      <c r="B9" t="s">
        <v>48</v>
      </c>
      <c r="C9" t="s">
        <v>65</v>
      </c>
      <c r="D9" t="s">
        <v>84</v>
      </c>
      <c r="E9" t="s">
        <v>64</v>
      </c>
      <c r="F9" t="s">
        <v>109</v>
      </c>
      <c r="G9" t="s">
        <v>127</v>
      </c>
      <c r="H9" t="s">
        <v>6</v>
      </c>
    </row>
    <row r="10" spans="1:9" ht="17.25" x14ac:dyDescent="0.3">
      <c r="A10" s="1"/>
      <c r="B10" t="s">
        <v>49</v>
      </c>
      <c r="C10" t="s">
        <v>45</v>
      </c>
      <c r="D10" t="s">
        <v>44</v>
      </c>
      <c r="E10" t="s">
        <v>74</v>
      </c>
      <c r="F10" t="s">
        <v>110</v>
      </c>
      <c r="G10" t="s">
        <v>128</v>
      </c>
      <c r="H10" t="s">
        <v>7</v>
      </c>
    </row>
    <row r="11" spans="1:9" ht="17.25" x14ac:dyDescent="0.3">
      <c r="A11" s="1"/>
      <c r="B11" t="s">
        <v>50</v>
      </c>
      <c r="C11" t="s">
        <v>66</v>
      </c>
      <c r="D11" t="s">
        <v>85</v>
      </c>
      <c r="E11" t="s">
        <v>95</v>
      </c>
      <c r="F11" t="s">
        <v>111</v>
      </c>
      <c r="G11" t="s">
        <v>8</v>
      </c>
    </row>
    <row r="12" spans="1:9" ht="17.25" x14ac:dyDescent="0.3">
      <c r="A12" s="1"/>
      <c r="B12" t="s">
        <v>51</v>
      </c>
      <c r="C12" t="s">
        <v>67</v>
      </c>
      <c r="D12" t="s">
        <v>86</v>
      </c>
      <c r="E12" t="s">
        <v>64</v>
      </c>
      <c r="F12" t="s">
        <v>112</v>
      </c>
      <c r="G12" t="s">
        <v>129</v>
      </c>
      <c r="H12" t="s">
        <v>9</v>
      </c>
    </row>
    <row r="13" spans="1:9" ht="17.25" x14ac:dyDescent="0.3">
      <c r="A13" s="1"/>
      <c r="B13" t="s">
        <v>52</v>
      </c>
      <c r="C13" t="s">
        <v>68</v>
      </c>
      <c r="D13" t="s">
        <v>55</v>
      </c>
      <c r="E13" t="s">
        <v>96</v>
      </c>
      <c r="F13" t="s">
        <v>113</v>
      </c>
      <c r="G13" t="s">
        <v>10</v>
      </c>
    </row>
    <row r="14" spans="1:9" ht="17.25" x14ac:dyDescent="0.3">
      <c r="A14" s="1"/>
      <c r="B14" t="s">
        <v>53</v>
      </c>
      <c r="C14" t="s">
        <v>69</v>
      </c>
      <c r="D14" t="s">
        <v>44</v>
      </c>
      <c r="E14" t="s">
        <v>97</v>
      </c>
      <c r="F14" t="s">
        <v>114</v>
      </c>
      <c r="G14" t="s">
        <v>7</v>
      </c>
    </row>
    <row r="15" spans="1:9" ht="17.25" x14ac:dyDescent="0.3">
      <c r="A15" s="1"/>
      <c r="B15" t="s">
        <v>54</v>
      </c>
      <c r="C15" t="s">
        <v>70</v>
      </c>
      <c r="D15" t="s">
        <v>64</v>
      </c>
      <c r="E15" t="s">
        <v>98</v>
      </c>
      <c r="F15" t="s">
        <v>115</v>
      </c>
      <c r="G15" t="s">
        <v>130</v>
      </c>
      <c r="H15" t="s">
        <v>127</v>
      </c>
      <c r="I15" t="s">
        <v>11</v>
      </c>
    </row>
    <row r="16" spans="1:9" ht="17.25" x14ac:dyDescent="0.3">
      <c r="A16" s="1"/>
      <c r="B16" t="s">
        <v>55</v>
      </c>
      <c r="C16" t="s">
        <v>71</v>
      </c>
      <c r="D16" t="s">
        <v>44</v>
      </c>
      <c r="E16" t="s">
        <v>62</v>
      </c>
      <c r="F16" t="s">
        <v>116</v>
      </c>
      <c r="G16" t="s">
        <v>12</v>
      </c>
    </row>
    <row r="17" spans="1:9" ht="17.25" x14ac:dyDescent="0.3">
      <c r="A17" s="1"/>
      <c r="B17" t="s">
        <v>46</v>
      </c>
      <c r="C17" t="s">
        <v>72</v>
      </c>
      <c r="D17" t="s">
        <v>87</v>
      </c>
      <c r="E17" t="s">
        <v>99</v>
      </c>
      <c r="F17" t="s">
        <v>117</v>
      </c>
      <c r="G17" t="s">
        <v>13</v>
      </c>
    </row>
    <row r="18" spans="1:9" ht="17.25" x14ac:dyDescent="0.3">
      <c r="A18" s="1"/>
      <c r="B18" t="s">
        <v>44</v>
      </c>
      <c r="C18" t="s">
        <v>73</v>
      </c>
      <c r="D18" t="s">
        <v>88</v>
      </c>
      <c r="E18" t="s">
        <v>55</v>
      </c>
      <c r="F18" t="s">
        <v>96</v>
      </c>
      <c r="G18" t="s">
        <v>14</v>
      </c>
    </row>
    <row r="19" spans="1:9" ht="17.25" x14ac:dyDescent="0.3">
      <c r="A19" s="1"/>
      <c r="B19" t="s">
        <v>46</v>
      </c>
      <c r="C19" t="s">
        <v>74</v>
      </c>
      <c r="D19" t="s">
        <v>89</v>
      </c>
      <c r="E19" t="s">
        <v>100</v>
      </c>
      <c r="F19" t="s">
        <v>118</v>
      </c>
      <c r="G19" t="s">
        <v>131</v>
      </c>
      <c r="H19" t="s">
        <v>15</v>
      </c>
    </row>
    <row r="20" spans="1:9" ht="17.25" x14ac:dyDescent="0.3">
      <c r="A20" s="1"/>
      <c r="B20" t="s">
        <v>55</v>
      </c>
      <c r="C20" t="s">
        <v>75</v>
      </c>
      <c r="D20" t="s">
        <v>71</v>
      </c>
      <c r="E20" t="s">
        <v>96</v>
      </c>
      <c r="F20" t="s">
        <v>119</v>
      </c>
      <c r="G20" t="s">
        <v>94</v>
      </c>
      <c r="H20" t="s">
        <v>16</v>
      </c>
    </row>
    <row r="21" spans="1:9" ht="17.25" x14ac:dyDescent="0.3">
      <c r="A21" s="1"/>
      <c r="B21" t="s">
        <v>56</v>
      </c>
      <c r="C21" t="s">
        <v>62</v>
      </c>
      <c r="D21" t="s">
        <v>46</v>
      </c>
      <c r="E21" t="s">
        <v>101</v>
      </c>
      <c r="F21" t="s">
        <v>120</v>
      </c>
      <c r="G21" t="s">
        <v>17</v>
      </c>
    </row>
    <row r="22" spans="1:9" ht="17.25" x14ac:dyDescent="0.3">
      <c r="B22" s="1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28</v>
      </c>
      <c r="H22" t="s">
        <v>29</v>
      </c>
    </row>
    <row r="23" spans="1:9" ht="17.25" x14ac:dyDescent="0.3">
      <c r="A23" s="1"/>
      <c r="B23" t="s">
        <v>49</v>
      </c>
      <c r="C23" t="s">
        <v>76</v>
      </c>
      <c r="D23" t="s">
        <v>90</v>
      </c>
      <c r="E23" t="s">
        <v>102</v>
      </c>
      <c r="F23" t="s">
        <v>121</v>
      </c>
      <c r="G23" t="s">
        <v>132</v>
      </c>
      <c r="H23" t="s">
        <v>135</v>
      </c>
      <c r="I23" t="s">
        <v>18</v>
      </c>
    </row>
    <row r="24" spans="1:9" ht="17.25" x14ac:dyDescent="0.3">
      <c r="A24" s="1"/>
      <c r="B24" t="s">
        <v>19</v>
      </c>
      <c r="D24" t="s">
        <v>77</v>
      </c>
      <c r="E24" t="s">
        <v>74</v>
      </c>
      <c r="F24" t="s">
        <v>103</v>
      </c>
      <c r="G24" t="s">
        <v>122</v>
      </c>
      <c r="H24" t="s">
        <v>133</v>
      </c>
      <c r="I24" t="s">
        <v>20</v>
      </c>
    </row>
    <row r="25" spans="1:9" ht="17.25" x14ac:dyDescent="0.3">
      <c r="A25" s="1"/>
      <c r="B25" t="s">
        <v>19</v>
      </c>
      <c r="D25" t="s">
        <v>21</v>
      </c>
    </row>
    <row r="26" spans="1:9" ht="17.25" x14ac:dyDescent="0.3">
      <c r="A26" s="1"/>
      <c r="B26" t="s">
        <v>57</v>
      </c>
      <c r="C26" t="s">
        <v>78</v>
      </c>
      <c r="D26" t="s">
        <v>91</v>
      </c>
      <c r="E26" t="s">
        <v>53</v>
      </c>
      <c r="F26" t="s">
        <v>123</v>
      </c>
      <c r="G26" t="s">
        <v>134</v>
      </c>
      <c r="H26" t="s">
        <v>136</v>
      </c>
      <c r="I26" t="s">
        <v>22</v>
      </c>
    </row>
    <row r="27" spans="1:9" ht="17.25" x14ac:dyDescent="0.3">
      <c r="B27" s="1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</row>
    <row r="28" spans="1:9" ht="17.25" x14ac:dyDescent="0.3">
      <c r="B28" s="1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</row>
  </sheetData>
  <sortState xmlns:xlrd2="http://schemas.microsoft.com/office/spreadsheetml/2017/richdata2" ref="X2:X10">
    <sortCondition ref="X2:X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457F-EC97-44B2-8F40-EBC79C626322}">
  <dimension ref="A1:T65"/>
  <sheetViews>
    <sheetView workbookViewId="0">
      <selection activeCell="G10" sqref="G10"/>
    </sheetView>
  </sheetViews>
  <sheetFormatPr defaultRowHeight="15" x14ac:dyDescent="0.25"/>
  <cols>
    <col min="1" max="1" width="60.28515625" bestFit="1" customWidth="1"/>
    <col min="2" max="2" width="12.5703125" bestFit="1" customWidth="1"/>
    <col min="3" max="3" width="13.5703125" bestFit="1" customWidth="1"/>
    <col min="4" max="4" width="10.85546875" bestFit="1" customWidth="1"/>
    <col min="5" max="5" width="10.5703125" bestFit="1" customWidth="1"/>
    <col min="6" max="6" width="6.42578125" bestFit="1" customWidth="1"/>
    <col min="8" max="8" width="19.85546875" bestFit="1" customWidth="1"/>
  </cols>
  <sheetData>
    <row r="1" spans="1:20" x14ac:dyDescent="0.25">
      <c r="A1" s="2" t="s">
        <v>137</v>
      </c>
      <c r="B1" s="2" t="s">
        <v>163</v>
      </c>
      <c r="C1" s="2" t="s">
        <v>156</v>
      </c>
      <c r="D1" s="2" t="s">
        <v>153</v>
      </c>
      <c r="E1" s="2" t="s">
        <v>154</v>
      </c>
      <c r="F1" s="2" t="s">
        <v>155</v>
      </c>
      <c r="H1" s="2" t="s">
        <v>138</v>
      </c>
    </row>
    <row r="2" spans="1:20" x14ac:dyDescent="0.25">
      <c r="A2" t="s">
        <v>217</v>
      </c>
      <c r="B2" t="s">
        <v>195</v>
      </c>
      <c r="C2" t="s">
        <v>200</v>
      </c>
      <c r="D2" t="s">
        <v>200</v>
      </c>
      <c r="E2" t="s">
        <v>201</v>
      </c>
      <c r="F2" t="s">
        <v>201</v>
      </c>
      <c r="H2" t="s">
        <v>224</v>
      </c>
      <c r="J2" s="3"/>
      <c r="S2" t="s">
        <v>194</v>
      </c>
      <c r="T2" t="s">
        <v>200</v>
      </c>
    </row>
    <row r="3" spans="1:20" x14ac:dyDescent="0.25">
      <c r="A3" t="s">
        <v>175</v>
      </c>
      <c r="B3" t="s">
        <v>196</v>
      </c>
      <c r="C3" t="s">
        <v>200</v>
      </c>
      <c r="D3" t="s">
        <v>200</v>
      </c>
      <c r="E3" t="s">
        <v>201</v>
      </c>
      <c r="F3" t="s">
        <v>201</v>
      </c>
      <c r="H3" t="s">
        <v>209</v>
      </c>
      <c r="S3" t="s">
        <v>195</v>
      </c>
      <c r="T3" t="s">
        <v>201</v>
      </c>
    </row>
    <row r="4" spans="1:20" x14ac:dyDescent="0.25">
      <c r="A4" t="s">
        <v>161</v>
      </c>
      <c r="B4" t="s">
        <v>194</v>
      </c>
      <c r="C4" t="s">
        <v>200</v>
      </c>
      <c r="D4" t="s">
        <v>200</v>
      </c>
      <c r="E4" t="s">
        <v>201</v>
      </c>
      <c r="F4" t="s">
        <v>201</v>
      </c>
      <c r="H4" t="s">
        <v>188</v>
      </c>
      <c r="S4" t="s">
        <v>196</v>
      </c>
    </row>
    <row r="5" spans="1:20" x14ac:dyDescent="0.25">
      <c r="A5" t="s">
        <v>219</v>
      </c>
      <c r="B5" t="s">
        <v>194</v>
      </c>
      <c r="C5" t="s">
        <v>200</v>
      </c>
      <c r="D5" t="s">
        <v>200</v>
      </c>
      <c r="E5" t="s">
        <v>201</v>
      </c>
      <c r="F5" t="s">
        <v>201</v>
      </c>
      <c r="H5" t="s">
        <v>183</v>
      </c>
      <c r="J5" s="3"/>
      <c r="S5" t="s">
        <v>197</v>
      </c>
    </row>
    <row r="6" spans="1:20" x14ac:dyDescent="0.25">
      <c r="A6" t="s">
        <v>193</v>
      </c>
      <c r="B6" t="s">
        <v>199</v>
      </c>
      <c r="C6" t="s">
        <v>201</v>
      </c>
      <c r="D6" t="s">
        <v>200</v>
      </c>
      <c r="E6" t="s">
        <v>200</v>
      </c>
      <c r="H6" t="s">
        <v>140</v>
      </c>
      <c r="S6" t="s">
        <v>198</v>
      </c>
    </row>
    <row r="7" spans="1:20" x14ac:dyDescent="0.25">
      <c r="A7" t="s">
        <v>230</v>
      </c>
      <c r="B7" t="s">
        <v>199</v>
      </c>
      <c r="C7" t="s">
        <v>201</v>
      </c>
      <c r="D7" t="s">
        <v>200</v>
      </c>
      <c r="E7" t="s">
        <v>200</v>
      </c>
      <c r="F7" t="s">
        <v>201</v>
      </c>
      <c r="H7" t="s">
        <v>210</v>
      </c>
      <c r="S7" t="s">
        <v>199</v>
      </c>
    </row>
    <row r="8" spans="1:20" x14ac:dyDescent="0.25">
      <c r="A8" t="s">
        <v>182</v>
      </c>
      <c r="B8" t="s">
        <v>194</v>
      </c>
      <c r="C8" t="s">
        <v>201</v>
      </c>
      <c r="D8" t="s">
        <v>200</v>
      </c>
      <c r="E8" t="s">
        <v>201</v>
      </c>
      <c r="F8" t="s">
        <v>201</v>
      </c>
      <c r="H8" t="s">
        <v>214</v>
      </c>
    </row>
    <row r="9" spans="1:20" x14ac:dyDescent="0.25">
      <c r="A9" t="s">
        <v>192</v>
      </c>
      <c r="B9" t="s">
        <v>199</v>
      </c>
      <c r="C9" t="s">
        <v>201</v>
      </c>
      <c r="D9" t="s">
        <v>200</v>
      </c>
      <c r="E9" t="s">
        <v>200</v>
      </c>
      <c r="H9" t="s">
        <v>215</v>
      </c>
    </row>
    <row r="10" spans="1:20" x14ac:dyDescent="0.25">
      <c r="A10" t="s">
        <v>233</v>
      </c>
      <c r="B10" t="s">
        <v>195</v>
      </c>
      <c r="C10" t="s">
        <v>201</v>
      </c>
      <c r="D10" t="s">
        <v>200</v>
      </c>
      <c r="E10" t="s">
        <v>201</v>
      </c>
      <c r="F10" t="s">
        <v>201</v>
      </c>
    </row>
    <row r="11" spans="1:20" x14ac:dyDescent="0.25">
      <c r="A11" t="s">
        <v>227</v>
      </c>
      <c r="B11" t="s">
        <v>199</v>
      </c>
      <c r="C11" t="s">
        <v>201</v>
      </c>
      <c r="D11" t="s">
        <v>200</v>
      </c>
      <c r="E11" t="s">
        <v>201</v>
      </c>
      <c r="F11" t="s">
        <v>201</v>
      </c>
    </row>
    <row r="12" spans="1:20" x14ac:dyDescent="0.25">
      <c r="A12" t="s">
        <v>231</v>
      </c>
      <c r="B12" t="s">
        <v>195</v>
      </c>
      <c r="C12" t="s">
        <v>200</v>
      </c>
      <c r="D12" t="s">
        <v>200</v>
      </c>
      <c r="E12" t="s">
        <v>201</v>
      </c>
      <c r="F12" t="s">
        <v>201</v>
      </c>
    </row>
    <row r="13" spans="1:20" x14ac:dyDescent="0.25">
      <c r="A13" t="s">
        <v>186</v>
      </c>
      <c r="B13" t="s">
        <v>199</v>
      </c>
      <c r="C13" t="s">
        <v>200</v>
      </c>
      <c r="D13" t="s">
        <v>201</v>
      </c>
      <c r="E13" t="s">
        <v>200</v>
      </c>
      <c r="F13" t="s">
        <v>201</v>
      </c>
    </row>
    <row r="14" spans="1:20" x14ac:dyDescent="0.25">
      <c r="A14" t="s">
        <v>189</v>
      </c>
      <c r="B14" t="s">
        <v>198</v>
      </c>
      <c r="C14" t="s">
        <v>200</v>
      </c>
      <c r="D14" t="s">
        <v>200</v>
      </c>
      <c r="E14" t="s">
        <v>200</v>
      </c>
      <c r="F14" t="s">
        <v>200</v>
      </c>
    </row>
    <row r="15" spans="1:20" x14ac:dyDescent="0.25">
      <c r="A15" t="s">
        <v>147</v>
      </c>
      <c r="B15" t="s">
        <v>194</v>
      </c>
      <c r="C15" t="s">
        <v>200</v>
      </c>
      <c r="D15" t="s">
        <v>200</v>
      </c>
      <c r="E15" t="s">
        <v>201</v>
      </c>
      <c r="F15" t="s">
        <v>201</v>
      </c>
    </row>
    <row r="16" spans="1:20" x14ac:dyDescent="0.25">
      <c r="A16" t="s">
        <v>165</v>
      </c>
      <c r="B16" t="s">
        <v>199</v>
      </c>
      <c r="C16" t="s">
        <v>201</v>
      </c>
      <c r="D16" t="s">
        <v>200</v>
      </c>
      <c r="E16" t="s">
        <v>200</v>
      </c>
      <c r="F16" t="s">
        <v>201</v>
      </c>
    </row>
    <row r="17" spans="1:6" x14ac:dyDescent="0.25">
      <c r="A17" t="s">
        <v>229</v>
      </c>
      <c r="B17" t="s">
        <v>197</v>
      </c>
      <c r="C17" t="s">
        <v>200</v>
      </c>
      <c r="D17" t="s">
        <v>200</v>
      </c>
      <c r="E17" t="s">
        <v>200</v>
      </c>
      <c r="F17" t="s">
        <v>201</v>
      </c>
    </row>
    <row r="18" spans="1:6" x14ac:dyDescent="0.25">
      <c r="A18" t="s">
        <v>228</v>
      </c>
      <c r="B18" t="s">
        <v>197</v>
      </c>
      <c r="C18" t="s">
        <v>200</v>
      </c>
      <c r="D18" t="s">
        <v>200</v>
      </c>
      <c r="E18" t="s">
        <v>200</v>
      </c>
      <c r="F18" t="s">
        <v>201</v>
      </c>
    </row>
    <row r="19" spans="1:6" x14ac:dyDescent="0.25">
      <c r="A19" t="s">
        <v>157</v>
      </c>
      <c r="B19" t="s">
        <v>197</v>
      </c>
      <c r="C19" t="s">
        <v>200</v>
      </c>
      <c r="D19" t="s">
        <v>200</v>
      </c>
      <c r="E19" t="s">
        <v>200</v>
      </c>
      <c r="F19" t="s">
        <v>201</v>
      </c>
    </row>
    <row r="20" spans="1:6" x14ac:dyDescent="0.25">
      <c r="A20" t="s">
        <v>145</v>
      </c>
      <c r="B20" t="s">
        <v>197</v>
      </c>
      <c r="C20" t="s">
        <v>201</v>
      </c>
      <c r="D20" t="s">
        <v>200</v>
      </c>
      <c r="E20" t="s">
        <v>200</v>
      </c>
      <c r="F20" t="s">
        <v>201</v>
      </c>
    </row>
    <row r="21" spans="1:6" x14ac:dyDescent="0.25">
      <c r="A21" t="s">
        <v>184</v>
      </c>
      <c r="B21" t="s">
        <v>199</v>
      </c>
      <c r="C21" t="s">
        <v>200</v>
      </c>
      <c r="D21" t="s">
        <v>201</v>
      </c>
    </row>
    <row r="22" spans="1:6" x14ac:dyDescent="0.25">
      <c r="A22" t="s">
        <v>172</v>
      </c>
      <c r="B22" t="s">
        <v>199</v>
      </c>
      <c r="C22" t="s">
        <v>200</v>
      </c>
      <c r="D22" t="s">
        <v>200</v>
      </c>
      <c r="E22" t="s">
        <v>200</v>
      </c>
      <c r="F22" t="s">
        <v>200</v>
      </c>
    </row>
    <row r="23" spans="1:6" x14ac:dyDescent="0.25">
      <c r="A23" t="s">
        <v>220</v>
      </c>
      <c r="B23" t="s">
        <v>199</v>
      </c>
      <c r="C23" t="s">
        <v>201</v>
      </c>
      <c r="D23" t="s">
        <v>200</v>
      </c>
      <c r="E23" t="s">
        <v>201</v>
      </c>
      <c r="F23" t="s">
        <v>201</v>
      </c>
    </row>
    <row r="24" spans="1:6" x14ac:dyDescent="0.25">
      <c r="A24" t="s">
        <v>221</v>
      </c>
      <c r="B24" t="s">
        <v>199</v>
      </c>
      <c r="C24" t="s">
        <v>201</v>
      </c>
      <c r="D24" t="s">
        <v>200</v>
      </c>
      <c r="E24" t="s">
        <v>200</v>
      </c>
      <c r="F24" t="s">
        <v>201</v>
      </c>
    </row>
    <row r="25" spans="1:6" x14ac:dyDescent="0.25">
      <c r="A25" t="s">
        <v>146</v>
      </c>
      <c r="B25" t="s">
        <v>198</v>
      </c>
      <c r="C25" t="s">
        <v>200</v>
      </c>
      <c r="D25" t="s">
        <v>200</v>
      </c>
      <c r="E25" t="s">
        <v>200</v>
      </c>
      <c r="F25" t="s">
        <v>201</v>
      </c>
    </row>
    <row r="26" spans="1:6" x14ac:dyDescent="0.25">
      <c r="A26" t="s">
        <v>176</v>
      </c>
      <c r="B26" t="s">
        <v>199</v>
      </c>
      <c r="C26" t="s">
        <v>201</v>
      </c>
      <c r="D26" t="s">
        <v>200</v>
      </c>
      <c r="E26" t="s">
        <v>200</v>
      </c>
      <c r="F26" t="s">
        <v>200</v>
      </c>
    </row>
    <row r="27" spans="1:6" x14ac:dyDescent="0.25">
      <c r="A27" t="s">
        <v>179</v>
      </c>
      <c r="B27" t="s">
        <v>199</v>
      </c>
      <c r="C27" t="s">
        <v>201</v>
      </c>
      <c r="D27" t="s">
        <v>200</v>
      </c>
      <c r="E27" t="s">
        <v>200</v>
      </c>
      <c r="F27" t="s">
        <v>200</v>
      </c>
    </row>
    <row r="28" spans="1:6" x14ac:dyDescent="0.25">
      <c r="A28" t="s">
        <v>151</v>
      </c>
      <c r="B28" t="s">
        <v>196</v>
      </c>
      <c r="C28" t="s">
        <v>200</v>
      </c>
      <c r="D28" t="s">
        <v>200</v>
      </c>
      <c r="E28" t="s">
        <v>201</v>
      </c>
      <c r="F28" t="s">
        <v>201</v>
      </c>
    </row>
    <row r="29" spans="1:6" x14ac:dyDescent="0.25">
      <c r="A29" t="s">
        <v>152</v>
      </c>
      <c r="B29" t="s">
        <v>199</v>
      </c>
      <c r="C29" t="s">
        <v>200</v>
      </c>
      <c r="D29" t="s">
        <v>200</v>
      </c>
      <c r="E29" t="s">
        <v>200</v>
      </c>
      <c r="F29" t="s">
        <v>200</v>
      </c>
    </row>
    <row r="30" spans="1:6" x14ac:dyDescent="0.25">
      <c r="A30" t="s">
        <v>148</v>
      </c>
      <c r="B30" t="s">
        <v>194</v>
      </c>
      <c r="C30" t="s">
        <v>201</v>
      </c>
      <c r="D30" t="s">
        <v>200</v>
      </c>
      <c r="E30" t="s">
        <v>201</v>
      </c>
      <c r="F30" t="s">
        <v>201</v>
      </c>
    </row>
    <row r="31" spans="1:6" x14ac:dyDescent="0.25">
      <c r="A31" t="s">
        <v>218</v>
      </c>
      <c r="B31" t="s">
        <v>196</v>
      </c>
      <c r="C31" t="s">
        <v>200</v>
      </c>
      <c r="D31" t="s">
        <v>200</v>
      </c>
      <c r="E31" t="s">
        <v>201</v>
      </c>
      <c r="F31" t="s">
        <v>201</v>
      </c>
    </row>
    <row r="32" spans="1:6" x14ac:dyDescent="0.25">
      <c r="A32" t="s">
        <v>222</v>
      </c>
      <c r="B32" t="s">
        <v>196</v>
      </c>
      <c r="C32" t="s">
        <v>200</v>
      </c>
      <c r="D32" t="s">
        <v>200</v>
      </c>
      <c r="E32" t="s">
        <v>201</v>
      </c>
      <c r="F32" t="s">
        <v>201</v>
      </c>
    </row>
    <row r="33" spans="1:6" x14ac:dyDescent="0.25">
      <c r="A33" t="s">
        <v>141</v>
      </c>
      <c r="B33" t="s">
        <v>199</v>
      </c>
      <c r="C33" t="s">
        <v>201</v>
      </c>
      <c r="D33" t="s">
        <v>200</v>
      </c>
      <c r="E33" t="s">
        <v>201</v>
      </c>
      <c r="F33" t="s">
        <v>201</v>
      </c>
    </row>
    <row r="34" spans="1:6" x14ac:dyDescent="0.25">
      <c r="A34" t="s">
        <v>167</v>
      </c>
      <c r="B34" t="s">
        <v>194</v>
      </c>
      <c r="C34" t="s">
        <v>201</v>
      </c>
      <c r="D34" t="s">
        <v>200</v>
      </c>
      <c r="E34" t="s">
        <v>201</v>
      </c>
      <c r="F34" t="s">
        <v>201</v>
      </c>
    </row>
    <row r="35" spans="1:6" x14ac:dyDescent="0.25">
      <c r="A35" t="s">
        <v>168</v>
      </c>
      <c r="B35" t="s">
        <v>195</v>
      </c>
      <c r="C35" t="s">
        <v>200</v>
      </c>
      <c r="D35" t="s">
        <v>200</v>
      </c>
      <c r="E35" t="s">
        <v>201</v>
      </c>
      <c r="F35" t="s">
        <v>201</v>
      </c>
    </row>
    <row r="36" spans="1:6" x14ac:dyDescent="0.25">
      <c r="A36" t="s">
        <v>169</v>
      </c>
      <c r="B36" t="s">
        <v>195</v>
      </c>
      <c r="C36" t="s">
        <v>201</v>
      </c>
      <c r="D36" t="s">
        <v>200</v>
      </c>
      <c r="E36" t="s">
        <v>201</v>
      </c>
      <c r="F36" t="s">
        <v>201</v>
      </c>
    </row>
    <row r="37" spans="1:6" x14ac:dyDescent="0.25">
      <c r="A37" t="s">
        <v>232</v>
      </c>
      <c r="B37" t="s">
        <v>195</v>
      </c>
      <c r="C37" t="s">
        <v>200</v>
      </c>
      <c r="D37" t="s">
        <v>200</v>
      </c>
      <c r="E37" t="s">
        <v>201</v>
      </c>
      <c r="F37" t="s">
        <v>201</v>
      </c>
    </row>
    <row r="38" spans="1:6" x14ac:dyDescent="0.25">
      <c r="A38" t="s">
        <v>149</v>
      </c>
      <c r="B38" t="s">
        <v>195</v>
      </c>
      <c r="C38" t="s">
        <v>201</v>
      </c>
      <c r="D38" t="s">
        <v>200</v>
      </c>
      <c r="E38" t="s">
        <v>201</v>
      </c>
      <c r="F38" t="s">
        <v>201</v>
      </c>
    </row>
    <row r="39" spans="1:6" x14ac:dyDescent="0.25">
      <c r="A39" t="s">
        <v>142</v>
      </c>
      <c r="B39" t="s">
        <v>195</v>
      </c>
      <c r="C39" t="s">
        <v>200</v>
      </c>
      <c r="D39" t="s">
        <v>200</v>
      </c>
      <c r="E39" t="s">
        <v>201</v>
      </c>
      <c r="F39" t="s">
        <v>201</v>
      </c>
    </row>
    <row r="40" spans="1:6" x14ac:dyDescent="0.25">
      <c r="A40" t="s">
        <v>171</v>
      </c>
      <c r="B40" t="s">
        <v>195</v>
      </c>
      <c r="C40" t="s">
        <v>200</v>
      </c>
      <c r="D40" t="s">
        <v>200</v>
      </c>
      <c r="E40" t="s">
        <v>201</v>
      </c>
      <c r="F40" t="s">
        <v>201</v>
      </c>
    </row>
    <row r="41" spans="1:6" x14ac:dyDescent="0.25">
      <c r="A41" t="s">
        <v>143</v>
      </c>
      <c r="B41" t="s">
        <v>194</v>
      </c>
      <c r="C41" t="s">
        <v>200</v>
      </c>
      <c r="D41" t="s">
        <v>200</v>
      </c>
      <c r="E41" t="s">
        <v>201</v>
      </c>
      <c r="F41" t="s">
        <v>201</v>
      </c>
    </row>
    <row r="42" spans="1:6" x14ac:dyDescent="0.25">
      <c r="A42" t="s">
        <v>139</v>
      </c>
      <c r="B42" t="s">
        <v>194</v>
      </c>
      <c r="C42" t="s">
        <v>200</v>
      </c>
      <c r="D42" t="s">
        <v>200</v>
      </c>
      <c r="E42" t="s">
        <v>201</v>
      </c>
      <c r="F42" t="s">
        <v>201</v>
      </c>
    </row>
    <row r="43" spans="1:6" x14ac:dyDescent="0.25">
      <c r="A43" t="s">
        <v>191</v>
      </c>
      <c r="B43" t="s">
        <v>199</v>
      </c>
      <c r="C43" t="s">
        <v>201</v>
      </c>
      <c r="D43" t="s">
        <v>200</v>
      </c>
      <c r="E43" t="s">
        <v>200</v>
      </c>
      <c r="F43" t="s">
        <v>200</v>
      </c>
    </row>
    <row r="44" spans="1:6" x14ac:dyDescent="0.25">
      <c r="A44" t="s">
        <v>225</v>
      </c>
      <c r="B44" t="s">
        <v>195</v>
      </c>
      <c r="C44" t="s">
        <v>200</v>
      </c>
      <c r="D44" t="s">
        <v>200</v>
      </c>
      <c r="E44" t="s">
        <v>201</v>
      </c>
      <c r="F44" t="s">
        <v>201</v>
      </c>
    </row>
    <row r="45" spans="1:6" x14ac:dyDescent="0.25">
      <c r="A45" t="s">
        <v>226</v>
      </c>
      <c r="B45" t="s">
        <v>199</v>
      </c>
      <c r="C45" t="s">
        <v>200</v>
      </c>
      <c r="D45" t="s">
        <v>200</v>
      </c>
      <c r="E45" t="s">
        <v>200</v>
      </c>
      <c r="F45" t="s">
        <v>201</v>
      </c>
    </row>
    <row r="46" spans="1:6" x14ac:dyDescent="0.25">
      <c r="A46" t="s">
        <v>213</v>
      </c>
      <c r="B46" t="s">
        <v>199</v>
      </c>
      <c r="C46" t="s">
        <v>200</v>
      </c>
      <c r="D46" t="s">
        <v>200</v>
      </c>
      <c r="E46" t="s">
        <v>200</v>
      </c>
      <c r="F46" t="s">
        <v>201</v>
      </c>
    </row>
    <row r="47" spans="1:6" x14ac:dyDescent="0.25">
      <c r="A47" t="s">
        <v>174</v>
      </c>
      <c r="B47" t="s">
        <v>199</v>
      </c>
      <c r="C47" t="s">
        <v>200</v>
      </c>
      <c r="D47" t="s">
        <v>200</v>
      </c>
      <c r="E47" t="s">
        <v>200</v>
      </c>
      <c r="F47" t="s">
        <v>201</v>
      </c>
    </row>
    <row r="48" spans="1:6" x14ac:dyDescent="0.25">
      <c r="A48" t="s">
        <v>164</v>
      </c>
      <c r="B48" t="s">
        <v>199</v>
      </c>
      <c r="C48" t="s">
        <v>200</v>
      </c>
      <c r="D48" t="s">
        <v>200</v>
      </c>
      <c r="E48" t="s">
        <v>200</v>
      </c>
      <c r="F48" t="s">
        <v>201</v>
      </c>
    </row>
    <row r="49" spans="1:6" x14ac:dyDescent="0.25">
      <c r="A49" t="s">
        <v>144</v>
      </c>
      <c r="B49" t="s">
        <v>196</v>
      </c>
      <c r="C49" t="s">
        <v>200</v>
      </c>
      <c r="D49" t="s">
        <v>200</v>
      </c>
      <c r="E49" t="s">
        <v>201</v>
      </c>
      <c r="F49" t="s">
        <v>201</v>
      </c>
    </row>
    <row r="50" spans="1:6" x14ac:dyDescent="0.25">
      <c r="A50" t="s">
        <v>158</v>
      </c>
      <c r="B50" t="s">
        <v>196</v>
      </c>
      <c r="C50" t="s">
        <v>200</v>
      </c>
      <c r="D50" t="s">
        <v>200</v>
      </c>
      <c r="E50" t="s">
        <v>201</v>
      </c>
      <c r="F50" t="s">
        <v>201</v>
      </c>
    </row>
    <row r="51" spans="1:6" x14ac:dyDescent="0.25">
      <c r="A51" t="s">
        <v>223</v>
      </c>
      <c r="B51" t="s">
        <v>194</v>
      </c>
      <c r="C51" t="s">
        <v>200</v>
      </c>
      <c r="D51" t="s">
        <v>200</v>
      </c>
      <c r="E51" t="s">
        <v>201</v>
      </c>
      <c r="F51" t="s">
        <v>201</v>
      </c>
    </row>
    <row r="52" spans="1:6" x14ac:dyDescent="0.25">
      <c r="A52" t="s">
        <v>166</v>
      </c>
      <c r="B52" t="s">
        <v>194</v>
      </c>
      <c r="C52" t="s">
        <v>200</v>
      </c>
      <c r="D52" t="s">
        <v>200</v>
      </c>
      <c r="E52" t="s">
        <v>201</v>
      </c>
      <c r="F52" t="s">
        <v>201</v>
      </c>
    </row>
    <row r="53" spans="1:6" x14ac:dyDescent="0.25">
      <c r="A53" t="s">
        <v>150</v>
      </c>
      <c r="B53" t="s">
        <v>194</v>
      </c>
      <c r="C53" t="s">
        <v>201</v>
      </c>
      <c r="D53" t="s">
        <v>200</v>
      </c>
      <c r="E53" t="s">
        <v>201</v>
      </c>
      <c r="F53" t="s">
        <v>201</v>
      </c>
    </row>
    <row r="54" spans="1:6" x14ac:dyDescent="0.25">
      <c r="A54" t="s">
        <v>178</v>
      </c>
      <c r="B54" t="s">
        <v>195</v>
      </c>
      <c r="C54" t="s">
        <v>200</v>
      </c>
      <c r="D54" t="s">
        <v>200</v>
      </c>
      <c r="E54" t="s">
        <v>201</v>
      </c>
      <c r="F54" t="s">
        <v>201</v>
      </c>
    </row>
    <row r="55" spans="1:6" x14ac:dyDescent="0.25">
      <c r="A55" t="s">
        <v>177</v>
      </c>
      <c r="B55" t="s">
        <v>199</v>
      </c>
      <c r="C55" t="s">
        <v>200</v>
      </c>
      <c r="D55" t="s">
        <v>200</v>
      </c>
      <c r="E55" t="s">
        <v>201</v>
      </c>
      <c r="F55" t="s">
        <v>201</v>
      </c>
    </row>
    <row r="56" spans="1:6" x14ac:dyDescent="0.25">
      <c r="A56" t="s">
        <v>185</v>
      </c>
      <c r="B56" t="s">
        <v>199</v>
      </c>
      <c r="C56" t="s">
        <v>201</v>
      </c>
      <c r="D56" t="s">
        <v>200</v>
      </c>
      <c r="E56" t="s">
        <v>200</v>
      </c>
      <c r="F56" t="s">
        <v>200</v>
      </c>
    </row>
    <row r="57" spans="1:6" x14ac:dyDescent="0.25">
      <c r="A57" t="s">
        <v>180</v>
      </c>
      <c r="B57" t="s">
        <v>198</v>
      </c>
      <c r="C57" t="s">
        <v>200</v>
      </c>
      <c r="D57" t="s">
        <v>200</v>
      </c>
      <c r="E57" t="s">
        <v>201</v>
      </c>
      <c r="F57" t="s">
        <v>201</v>
      </c>
    </row>
    <row r="58" spans="1:6" x14ac:dyDescent="0.25">
      <c r="A58" t="s">
        <v>187</v>
      </c>
      <c r="B58" t="s">
        <v>199</v>
      </c>
      <c r="C58" t="s">
        <v>200</v>
      </c>
      <c r="D58" t="s">
        <v>200</v>
      </c>
      <c r="E58" t="s">
        <v>200</v>
      </c>
      <c r="F58" t="s">
        <v>201</v>
      </c>
    </row>
    <row r="59" spans="1:6" x14ac:dyDescent="0.25">
      <c r="A59" t="s">
        <v>173</v>
      </c>
      <c r="B59" t="s">
        <v>199</v>
      </c>
      <c r="C59" t="s">
        <v>201</v>
      </c>
      <c r="D59" t="s">
        <v>200</v>
      </c>
      <c r="E59" t="s">
        <v>200</v>
      </c>
      <c r="F59" t="s">
        <v>201</v>
      </c>
    </row>
    <row r="60" spans="1:6" x14ac:dyDescent="0.25">
      <c r="A60" t="s">
        <v>159</v>
      </c>
      <c r="B60" t="s">
        <v>199</v>
      </c>
      <c r="C60" t="s">
        <v>201</v>
      </c>
      <c r="D60" t="s">
        <v>200</v>
      </c>
      <c r="E60" t="s">
        <v>200</v>
      </c>
      <c r="F60" t="s">
        <v>201</v>
      </c>
    </row>
    <row r="61" spans="1:6" x14ac:dyDescent="0.25">
      <c r="A61" t="s">
        <v>160</v>
      </c>
      <c r="B61" t="s">
        <v>199</v>
      </c>
      <c r="C61" t="s">
        <v>201</v>
      </c>
      <c r="D61" t="s">
        <v>200</v>
      </c>
      <c r="E61" t="s">
        <v>200</v>
      </c>
      <c r="F61" t="s">
        <v>201</v>
      </c>
    </row>
    <row r="62" spans="1:6" x14ac:dyDescent="0.25">
      <c r="A62" t="s">
        <v>190</v>
      </c>
      <c r="B62" t="s">
        <v>194</v>
      </c>
      <c r="C62" t="s">
        <v>201</v>
      </c>
      <c r="D62" t="s">
        <v>200</v>
      </c>
      <c r="E62" t="s">
        <v>201</v>
      </c>
      <c r="F62" t="s">
        <v>201</v>
      </c>
    </row>
    <row r="63" spans="1:6" x14ac:dyDescent="0.25">
      <c r="A63" t="s">
        <v>170</v>
      </c>
      <c r="B63" t="s">
        <v>199</v>
      </c>
      <c r="C63" t="s">
        <v>201</v>
      </c>
      <c r="D63" t="s">
        <v>200</v>
      </c>
      <c r="E63" t="s">
        <v>200</v>
      </c>
      <c r="F63" t="s">
        <v>200</v>
      </c>
    </row>
    <row r="64" spans="1:6" x14ac:dyDescent="0.25">
      <c r="A64" t="s">
        <v>162</v>
      </c>
      <c r="B64" t="s">
        <v>198</v>
      </c>
      <c r="C64" t="s">
        <v>201</v>
      </c>
      <c r="D64" t="s">
        <v>200</v>
      </c>
      <c r="E64" t="s">
        <v>200</v>
      </c>
      <c r="F64" t="s">
        <v>200</v>
      </c>
    </row>
    <row r="65" spans="1:6" x14ac:dyDescent="0.25">
      <c r="A65" t="s">
        <v>181</v>
      </c>
      <c r="B65" t="s">
        <v>199</v>
      </c>
      <c r="C65" t="s">
        <v>201</v>
      </c>
      <c r="D65" t="s">
        <v>200</v>
      </c>
      <c r="E65" t="s">
        <v>200</v>
      </c>
      <c r="F65" t="s">
        <v>201</v>
      </c>
    </row>
  </sheetData>
  <sortState xmlns:xlrd2="http://schemas.microsoft.com/office/spreadsheetml/2017/richdata2" ref="A2:F65">
    <sortCondition ref="A2:A65"/>
  </sortState>
  <dataValidations count="2">
    <dataValidation type="list" allowBlank="1" showInputMessage="1" showErrorMessage="1" sqref="B2:B66" xr:uid="{C386A469-D3B9-41B0-9978-82618A8F216C}">
      <formula1>$S$2:$S$7</formula1>
    </dataValidation>
    <dataValidation type="list" allowBlank="1" showInputMessage="1" showErrorMessage="1" sqref="C2:F65" xr:uid="{24F16CC2-3AA8-47D2-89D3-5E5EE7C0F948}">
      <formula1>$T$2:$T$4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7D90-6199-4EDD-B8B5-2B76DB87FB71}">
  <dimension ref="A2:AA31"/>
  <sheetViews>
    <sheetView workbookViewId="0">
      <selection activeCell="C5" sqref="C5"/>
    </sheetView>
  </sheetViews>
  <sheetFormatPr defaultRowHeight="15" x14ac:dyDescent="0.25"/>
  <cols>
    <col min="2" max="7" width="30.7109375" customWidth="1"/>
    <col min="10" max="15" width="11" bestFit="1" customWidth="1"/>
    <col min="27" max="27" width="9.140625" customWidth="1"/>
  </cols>
  <sheetData>
    <row r="2" spans="1:27" x14ac:dyDescent="0.25">
      <c r="J2" s="2" t="s">
        <v>203</v>
      </c>
      <c r="K2" s="2" t="s">
        <v>204</v>
      </c>
      <c r="L2" s="2" t="s">
        <v>205</v>
      </c>
      <c r="M2" s="2" t="s">
        <v>206</v>
      </c>
      <c r="N2" s="2" t="s">
        <v>207</v>
      </c>
      <c r="O2" s="2" t="s">
        <v>208</v>
      </c>
      <c r="AA2">
        <v>0</v>
      </c>
    </row>
    <row r="3" spans="1:27" x14ac:dyDescent="0.25">
      <c r="H3">
        <f>SUM(RDG!C7:H7)</f>
        <v>6</v>
      </c>
      <c r="P3">
        <f ca="1">COUNTIF(J4:O6,TRUE)</f>
        <v>4</v>
      </c>
      <c r="S3" t="s">
        <v>216</v>
      </c>
      <c r="AA3">
        <v>1</v>
      </c>
    </row>
    <row r="4" spans="1:27" x14ac:dyDescent="0.25">
      <c r="B4" t="str" cm="1">
        <f t="array" aca="1" ref="B4" ca="1">IF(RDG!C$7&gt;0,INDEX(_xlfn._xlws.FILTER(Ricette!$A$2:$A$213,(Ricette!$B$2:$B$213=RDG!C$6)*(Ricette!$D$2:$D$213="Sì")), RANDBETWEEN(1, COUNTA(_xlfn._xlws.FILTER(Ricette!$A$2:$A$213,(Ricette!$B$2:$B$213=RDG!C$6)*(Ricette!$D$2:$D$213="Sì"))))),"")</f>
        <v/>
      </c>
      <c r="C4" t="str" cm="1">
        <f t="array" aca="1" ref="C4" ca="1">IF(RDG!D$7&gt;0,INDEX(_xlfn._xlws.FILTER(Ricette!$A$2:$A$213,(Ricette!$B$2:$B$213=RDG!D$6)*(Ricette!$D$2:$D$213="Sì")), RANDBETWEEN(1, COUNTA(_xlfn._xlws.FILTER(Ricette!$A$2:$A$213,(Ricette!$B$2:$B$213=RDG!D$6)*(Ricette!$D$2:$D$213="Sì"))))),"")</f>
        <v/>
      </c>
      <c r="D4" t="str" cm="1">
        <f t="array" aca="1" ref="D4" ca="1">IF(RDG!E$7&gt;0,INDEX(_xlfn._xlws.FILTER(Ricette!$A$2:$A$213,(Ricette!$B$2:$B$213=RDG!E$6)*(Ricette!$D$2:$D$213="Sì")), RANDBETWEEN(1, COUNTA(_xlfn._xlws.FILTER(Ricette!$A$2:$A$213,(Ricette!$B$2:$B$213=RDG!E$6)*(Ricette!$D$2:$D$213="Sì"))))),"")</f>
        <v/>
      </c>
      <c r="E4" t="str" cm="1">
        <f t="array" aca="1" ref="E4" ca="1">IF(RDG!F$7&gt;0,INDEX(_xlfn._xlws.FILTER(Ricette!$A$2:$A$213,(Ricette!$B$2:$B$213=RDG!F$6)*(Ricette!$D$2:$D$213="Sì")), RANDBETWEEN(1, COUNTA(_xlfn._xlws.FILTER(Ricette!$A$2:$A$213,(Ricette!$B$2:$B$213=RDG!F$6)*(Ricette!$D$2:$D$213="Sì"))))),"")</f>
        <v/>
      </c>
      <c r="F4" t="str" cm="1">
        <f t="array" aca="1" ref="F4" ca="1">IF(RDG!G$7&gt;0,INDEX(_xlfn._xlws.FILTER(Ricette!$A$2:$A$213,(Ricette!$B$2:$B$213=RDG!G$6)*(Ricette!$D$2:$D$213="Sì")), RANDBETWEEN(1, COUNTA(_xlfn._xlws.FILTER(Ricette!$A$2:$A$213,(Ricette!$B$2:$B$213=RDG!G$6)*(Ricette!$D$2:$D$213="Sì"))))),"")</f>
        <v xml:space="preserve">Tonno e fagioli </v>
      </c>
      <c r="G4" t="str" cm="1">
        <f t="array" aca="1" ref="G4" ca="1">IF(RDG!H$7&gt;0,INDEX(_xlfn._xlws.FILTER(Ricette!$A$2:$A$213,(Ricette!$B$2:$B$213=RDG!H$6)*(Ricette!$D$2:$D$213="Sì")), RANDBETWEEN(1, COUNTA(_xlfn._xlws.FILTER(Ricette!$A$2:$A$213,(Ricette!$B$2:$B$213=RDG!H$6)*(Ricette!$D$2:$D$213="Sì"))))),"")</f>
        <v xml:space="preserve">Zuppa di carote </v>
      </c>
      <c r="J4" t="e">
        <f ca="1">IF(VLOOKUP(B4,Ricette!$A$2:$F$213,3)="Sì",TRUE,FALSE)</f>
        <v>#N/A</v>
      </c>
      <c r="K4" t="e">
        <f ca="1">IF(VLOOKUP(C4,Ricette!$A$2:$F$213,3)="Sì",TRUE,FALSE)</f>
        <v>#N/A</v>
      </c>
      <c r="L4" t="e">
        <f ca="1">IF(VLOOKUP(D4,Ricette!$A$2:$F$213,3)="Sì",TRUE,FALSE)</f>
        <v>#N/A</v>
      </c>
      <c r="M4" t="e">
        <f ca="1">IF(VLOOKUP(E4,Ricette!$A$2:$F$213,3)="Sì",TRUE,FALSE)</f>
        <v>#N/A</v>
      </c>
      <c r="N4" t="b">
        <f ca="1">IF(VLOOKUP(F4,Ricette!$A$2:$F$213,3)="Sì",TRUE,FALSE)</f>
        <v>1</v>
      </c>
      <c r="O4" t="b">
        <f ca="1">IF(VLOOKUP(G4,Ricette!$A$2:$F$213,3)="Sì",TRUE,FALSE)</f>
        <v>0</v>
      </c>
      <c r="P4">
        <v>1</v>
      </c>
      <c r="Q4" t="str" cm="1">
        <f t="array" aca="1" ref="Q4" ca="1">IF($P$3&gt;=P4,INDEX(Ricette!$H$2:$H$9, RANDBETWEEN(1,COUNTA(Ricette!$H$2:$H$14))),"")</f>
        <v>asparagi croccantini</v>
      </c>
      <c r="R4" cm="1">
        <f t="array" aca="1" ref="R4:R10" ca="1">_xlfn.SORTBY(_xlfn.SEQUENCE(ROWS(Ricette!$H$2:$H$8)), _xlfn.RANDARRAY(ROWS(Ricette!$H$2:$H$8)))</f>
        <v>2</v>
      </c>
      <c r="S4" t="str" cm="1">
        <f t="array" aca="1" ref="S4:S7" ca="1">IF(P3&gt;0,INDEX(Ricette!$H$2:$H$8, INDEX(_xlfn.SORTBY(_xlfn.SEQUENCE(ROWS(Ricette!$H$2:$H$8)), _xlfn.RANDARRAY(ROWS(Ricette!$H$2:$H$8))), _xlfn.SEQUENCE(calcs!P3))),"")</f>
        <v>spinaci</v>
      </c>
      <c r="AA4">
        <v>2</v>
      </c>
    </row>
    <row r="5" spans="1:27" x14ac:dyDescent="0.25">
      <c r="B5" t="str" cm="1">
        <f t="array" aca="1" ref="B5" ca="1">IF(RDG!C$7&gt;1,INDEX(_xlfn._xlws.FILTER(Ricette!$A$2:$A$213,(Ricette!$B$2:$B$213=RDG!C$6)*(Ricette!$A$2:$A$213&lt;&gt;B$4)*(Ricette!$D$2:$D$213="Sì")), RANDBETWEEN(1, COUNTA(_xlfn._xlws.FILTER(Ricette!$A$2:$A$213,(Ricette!$B$2:$B$213=RDG!C$6)*(Ricette!$A$2:$A$213&lt;&gt;B$4)*(Ricette!$D$2:$D$213="Sì"))))),"")</f>
        <v/>
      </c>
      <c r="C5" t="str" cm="1">
        <f t="array" aca="1" ref="C5" ca="1">IF(RDG!D$7&gt;1,INDEX(_xlfn._xlws.FILTER(Ricette!$A$2:$A$213,(Ricette!$B$2:$B$213=RDG!D$6)*(Ricette!$A$2:$A$213&lt;&gt;C$4)*(Ricette!$D$2:$D$213="Sì")), RANDBETWEEN(1, COUNTA(_xlfn._xlws.FILTER(Ricette!$A$2:$A$213,(Ricette!$B$2:$B$213=RDG!D$6)*(Ricette!$A$2:$A$213&lt;&gt;C$4)*(Ricette!$D$2:$D$213="Sì"))))),"")</f>
        <v/>
      </c>
      <c r="D5" t="str" cm="1">
        <f t="array" aca="1" ref="D5" ca="1">IF(RDG!E$7&gt;1,INDEX(_xlfn._xlws.FILTER(Ricette!$A$2:$A$213,(Ricette!$B$2:$B$213=RDG!E$6)*(Ricette!$A$2:$A$213&lt;&gt;D$4)*(Ricette!$D$2:$D$213="Sì")), RANDBETWEEN(1, COUNTA(_xlfn._xlws.FILTER(Ricette!$A$2:$A$213,(Ricette!$B$2:$B$213=RDG!E$6)*(Ricette!$A$2:$A$213&lt;&gt;D$4)*(Ricette!$D$2:$D$213="Sì"))))),"")</f>
        <v/>
      </c>
      <c r="E5" t="str" cm="1">
        <f t="array" aca="1" ref="E5" ca="1">IF(RDG!F$7&gt;1,INDEX(_xlfn._xlws.FILTER(Ricette!$A$2:$A$213,(Ricette!$B$2:$B$213=RDG!F$6)*(Ricette!$A$2:$A$213&lt;&gt;E$4)*(Ricette!$D$2:$D$213="Sì")), RANDBETWEEN(1, COUNTA(_xlfn._xlws.FILTER(Ricette!$A$2:$A$213,(Ricette!$B$2:$B$213=RDG!F$6)*(Ricette!$A$2:$A$213&lt;&gt;E$4)*(Ricette!$D$2:$D$213="Sì"))))),"")</f>
        <v/>
      </c>
      <c r="F5" t="str" cm="1">
        <f t="array" aca="1" ref="F5" ca="1">IF(RDG!G$7&gt;1,INDEX(_xlfn._xlws.FILTER(Ricette!$A$2:$A$213,(Ricette!$B$2:$B$213=RDG!G$6)*(Ricette!$A$2:$A$213&lt;&gt;F$4)*(Ricette!$D$2:$D$213="Sì")), RANDBETWEEN(1, COUNTA(_xlfn._xlws.FILTER(Ricette!$A$2:$A$213,(Ricette!$B$2:$B$213=RDG!G$6)*(Ricette!$A$2:$A$213&lt;&gt;F$4)*(Ricette!$D$2:$D$213="Sì"))))),"")</f>
        <v xml:space="preserve">Dal di lenticchie </v>
      </c>
      <c r="G5" t="str" cm="1">
        <f t="array" aca="1" ref="G5" ca="1">IF(RDG!H$7&gt;1,INDEX(_xlfn._xlws.FILTER(Ricette!$A$2:$A$213,(Ricette!$B$2:$B$213=RDG!H$6)*(Ricette!$A$2:$A$213&lt;&gt;G$4)*(Ricette!$D$2:$D$213="Sì")), RANDBETWEEN(1, COUNTA(_xlfn._xlws.FILTER(Ricette!$A$2:$A$213,(Ricette!$B$2:$B$213=RDG!H$6)*(Ricette!$A$2:$A$213&lt;&gt;G$4)*(Ricette!$D$2:$D$213="Sì"))))),"")</f>
        <v>Melanzane con melograno</v>
      </c>
      <c r="J5" t="e">
        <f ca="1">IF(VLOOKUP(B5,Ricette!$A$2:$F$213,3)="Sì",TRUE,FALSE)</f>
        <v>#N/A</v>
      </c>
      <c r="K5" t="e">
        <f ca="1">IF(VLOOKUP(C5,Ricette!$A$2:$F$213,3)="Sì",TRUE,FALSE)</f>
        <v>#N/A</v>
      </c>
      <c r="L5" t="e">
        <f ca="1">IF(VLOOKUP(D5,Ricette!$A$2:$F$213,3)="Sì",TRUE,FALSE)</f>
        <v>#N/A</v>
      </c>
      <c r="M5" t="e">
        <f ca="1">IF(VLOOKUP(E5,Ricette!$A$2:$F$213,3)="Sì",TRUE,FALSE)</f>
        <v>#N/A</v>
      </c>
      <c r="N5" t="b">
        <f ca="1">IF(VLOOKUP(F5,Ricette!$A$2:$F$213,3)="Sì",TRUE,FALSE)</f>
        <v>1</v>
      </c>
      <c r="O5" t="b">
        <f ca="1">IF(VLOOKUP(G5,Ricette!$A$2:$F$213,3)="Sì",TRUE,FALSE)</f>
        <v>0</v>
      </c>
      <c r="P5">
        <v>2</v>
      </c>
      <c r="Q5" t="str" cm="1">
        <f t="array" aca="1" ref="Q5" ca="1">IF($P$3&gt;=P5,INDEX(Ricette!$H$2:$H$9, RANDBETWEEN(1,COUNTA(Ricette!$H$2:$H$14))),"")</f>
        <v>fagiolini</v>
      </c>
      <c r="R5">
        <f ca="1"/>
        <v>5</v>
      </c>
      <c r="S5" t="str">
        <f ca="1"/>
        <v>insalata di pomodori</v>
      </c>
      <c r="AA5">
        <v>3</v>
      </c>
    </row>
    <row r="6" spans="1:27" x14ac:dyDescent="0.25">
      <c r="B6" t="str" cm="1">
        <f t="array" aca="1" ref="B6" ca="1">IF(RDG!C$7&gt;2,INDEX(_xlfn._xlws.FILTER(Ricette!$A$2:$A$213,(Ricette!$B$2:$B$213=RDG!C$6)*(Ricette!$A$2:$A$213&lt;&gt;B$4)*(Ricette!$A$2:$A$213&lt;&gt;B$5)*(Ricette!$D$2:$D$213="Sì")), RANDBETWEEN(1, COUNTA(_xlfn._xlws.FILTER(Ricette!$A$2:$A$213,(Ricette!$B$2:$B$213=RDG!C$6)*(Ricette!$A$2:$A$213&lt;&gt;B$4)*(Ricette!$A$2:$A$213&lt;&gt;B$5)*(Ricette!$D$2:$D$213="Sì"))))),"")</f>
        <v/>
      </c>
      <c r="C6" t="str" cm="1">
        <f t="array" aca="1" ref="C6" ca="1">IF(RDG!D$7&gt;2,INDEX(_xlfn._xlws.FILTER(Ricette!$A$2:$A$213,(Ricette!$B$2:$B$213=RDG!D$6)*(Ricette!$A$2:$A$213&lt;&gt;C$4)*(Ricette!$A$2:$A$213&lt;&gt;C$5)*(Ricette!$D$2:$D$213="Sì")), RANDBETWEEN(1, COUNTA(_xlfn._xlws.FILTER(Ricette!$A$2:$A$213,(Ricette!$B$2:$B$213=RDG!D$6)*(Ricette!$A$2:$A$213&lt;&gt;C$4)*(Ricette!$A$2:$A$213&lt;&gt;C$5)*(Ricette!$D$2:$D$213="Sì"))))),"")</f>
        <v/>
      </c>
      <c r="D6" t="str" cm="1">
        <f t="array" aca="1" ref="D6" ca="1">IF(RDG!E$7&gt;2,INDEX(_xlfn._xlws.FILTER(Ricette!$A$2:$A$213,(Ricette!$B$2:$B$213=RDG!E$6)*(Ricette!$A$2:$A$213&lt;&gt;D$4)*(Ricette!$A$2:$A$213&lt;&gt;D$5)*(Ricette!$D$2:$D$213="Sì")), RANDBETWEEN(1, COUNTA(_xlfn._xlws.FILTER(Ricette!$A$2:$A$213,(Ricette!$B$2:$B$213=RDG!E$6)*(Ricette!$A$2:$A$213&lt;&gt;D$4)*(Ricette!$A$2:$A$213&lt;&gt;D$5)*(Ricette!$D$2:$D$213="Sì"))))),"")</f>
        <v/>
      </c>
      <c r="E6" t="str" cm="1">
        <f t="array" aca="1" ref="E6" ca="1">IF(RDG!F$7&gt;2,INDEX(_xlfn._xlws.FILTER(Ricette!$A$2:$A$213,(Ricette!$B$2:$B$213=RDG!F$6)*(Ricette!$A$2:$A$213&lt;&gt;E$4)*(Ricette!$A$2:$A$213&lt;&gt;E$5)*(Ricette!$D$2:$D$213="Sì")), RANDBETWEEN(1, COUNTA(_xlfn._xlws.FILTER(Ricette!$A$2:$A$213,(Ricette!$B$2:$B$213=RDG!F$6)*(Ricette!$A$2:$A$213&lt;&gt;E$4)*(Ricette!$A$2:$A$213&lt;&gt;E$5)*(Ricette!$D$2:$D$213="Sì"))))),"")</f>
        <v/>
      </c>
      <c r="F6" t="str" cm="1">
        <f t="array" aca="1" ref="F6" ca="1">IF(RDG!G$7&gt;2,INDEX(_xlfn._xlws.FILTER(Ricette!$A$2:$A$213,(Ricette!$B$2:$B$213=RDG!G$6)*(Ricette!$A$2:$A$213&lt;&gt;F$4)*(Ricette!$A$2:$A$213&lt;&gt;F$5)*(Ricette!$D$2:$D$213="Sì")), RANDBETWEEN(1, COUNTA(_xlfn._xlws.FILTER(Ricette!$A$2:$A$213,(Ricette!$B$2:$B$213=RDG!G$6)*(Ricette!$A$2:$A$213&lt;&gt;F$4)*(Ricette!$A$2:$A$213&lt;&gt;F$5)*(Ricette!$D$2:$D$213="Sì"))))),"")</f>
        <v xml:space="preserve">Lenticchie e feta </v>
      </c>
      <c r="G6" t="str" cm="1">
        <f t="array" aca="1" ref="G6" ca="1">IF(RDG!H$7&gt;2,INDEX(_xlfn._xlws.FILTER(Ricette!$A$2:$A$213,(Ricette!$B$2:$B$213=RDG!H$6)*(Ricette!$A$2:$A$213&lt;&gt;G$4)*(Ricette!$A$2:$A$213&lt;&gt;G$5)*(Ricette!$D$2:$D$213="Sì")), RANDBETWEEN(1, COUNTA(_xlfn._xlws.FILTER(Ricette!$A$2:$A$213,(Ricette!$B$2:$B$213=RDG!H$6)*(Ricette!$A$2:$A$213&lt;&gt;G$4)*(Ricette!$A$2:$A$213&lt;&gt;G$5)*(Ricette!$D$2:$D$213="Sì"))))),"")</f>
        <v>Pasta e fagioli</v>
      </c>
      <c r="J6" t="e">
        <f ca="1">IF(VLOOKUP(B6,Ricette!$A$2:$F$213,3)="Sì",TRUE,FALSE)</f>
        <v>#N/A</v>
      </c>
      <c r="K6" t="e">
        <f ca="1">IF(VLOOKUP(C6,Ricette!$A$2:$F$213,3)="Sì",TRUE,FALSE)</f>
        <v>#N/A</v>
      </c>
      <c r="L6" t="e">
        <f ca="1">IF(VLOOKUP(D6,Ricette!$A$2:$F$213,3)="Sì",TRUE,FALSE)</f>
        <v>#N/A</v>
      </c>
      <c r="M6" t="e">
        <f ca="1">IF(VLOOKUP(E6,Ricette!$A$2:$F$213,3)="Sì",TRUE,FALSE)</f>
        <v>#N/A</v>
      </c>
      <c r="N6" t="b">
        <f ca="1">IF(VLOOKUP(F6,Ricette!$A$2:$F$213,3)="Sì",TRUE,FALSE)</f>
        <v>1</v>
      </c>
      <c r="O6" t="b">
        <f ca="1">IF(VLOOKUP(G6,Ricette!$A$2:$F$213,3)="Sì",TRUE,FALSE)</f>
        <v>1</v>
      </c>
      <c r="P6">
        <v>3</v>
      </c>
      <c r="Q6" t="str" cm="1">
        <f t="array" aca="1" ref="Q6" ca="1">IF($P$3&gt;=P6,INDEX(Ricette!$H$2:$H$9, RANDBETWEEN(1,COUNTA(Ricette!$H$2:$H$14))),"")</f>
        <v xml:space="preserve">pak choi </v>
      </c>
      <c r="R6">
        <f ca="1"/>
        <v>4</v>
      </c>
      <c r="S6" t="str">
        <f ca="1"/>
        <v>friarelli</v>
      </c>
    </row>
    <row r="7" spans="1:27" x14ac:dyDescent="0.25">
      <c r="P7">
        <v>4</v>
      </c>
      <c r="Q7" t="str" cm="1">
        <f t="array" aca="1" ref="Q7" ca="1">IF($P$3&gt;=P7,INDEX(Ricette!$H$2:$H$9, RANDBETWEEN(1,COUNTA(Ricette!$H$2:$H$14))),"")</f>
        <v>insalata di pomodori</v>
      </c>
      <c r="R7">
        <f ca="1"/>
        <v>7</v>
      </c>
      <c r="S7" t="str">
        <f ca="1"/>
        <v>fagiolini</v>
      </c>
    </row>
    <row r="8" spans="1:27" x14ac:dyDescent="0.25">
      <c r="P8">
        <v>5</v>
      </c>
      <c r="Q8" t="str" cm="1">
        <f t="array" aca="1" ref="Q8" ca="1">IF($P$3&gt;=P8,INDEX(Ricette!$H$2:$H$9, RANDBETWEEN(1,COUNTA(Ricette!$H$2:$H$14))),"")</f>
        <v/>
      </c>
      <c r="R8">
        <f ca="1"/>
        <v>1</v>
      </c>
    </row>
    <row r="9" spans="1:27" x14ac:dyDescent="0.25">
      <c r="P9">
        <v>6</v>
      </c>
      <c r="Q9" t="str" cm="1">
        <f t="array" aca="1" ref="Q9" ca="1">IF($P$3&gt;=P9,INDEX(Ricette!$H$2:$H$9, RANDBETWEEN(1,COUNTA(Ricette!$H$2:$H$14))),"")</f>
        <v/>
      </c>
      <c r="R9">
        <f ca="1"/>
        <v>6</v>
      </c>
    </row>
    <row r="10" spans="1:27" x14ac:dyDescent="0.25">
      <c r="P10">
        <v>7</v>
      </c>
      <c r="Q10" t="str" cm="1">
        <f t="array" aca="1" ref="Q10" ca="1">IF($P$3&gt;=P10,INDEX(Ricette!$H$2:$H$9, RANDBETWEEN(1,COUNTA(Ricette!$H$2:$H$14))),"")</f>
        <v/>
      </c>
      <c r="R10">
        <f ca="1"/>
        <v>3</v>
      </c>
    </row>
    <row r="11" spans="1:27" x14ac:dyDescent="0.25">
      <c r="P11">
        <v>8</v>
      </c>
      <c r="Q11" t="str" cm="1">
        <f t="array" aca="1" ref="Q11" ca="1">IF($P$3&gt;=P11,INDEX(Ricette!$H$2:$H$9, RANDBETWEEN(1,COUNTA(Ricette!$H$2:$H$14))),"")</f>
        <v/>
      </c>
    </row>
    <row r="12" spans="1:27" x14ac:dyDescent="0.25">
      <c r="P12">
        <v>9</v>
      </c>
      <c r="Q12" t="str" cm="1">
        <f t="array" aca="1" ref="Q12" ca="1">IF($P$3&gt;=P12,INDEX(Ricette!$H$2:$H$9, RANDBETWEEN(1,COUNTA(Ricette!$H$2:$H$14))),"")</f>
        <v/>
      </c>
    </row>
    <row r="13" spans="1:27" x14ac:dyDescent="0.25">
      <c r="P13">
        <v>10</v>
      </c>
      <c r="Q13" t="str" cm="1">
        <f t="array" aca="1" ref="Q13" ca="1">IF($P$3&gt;=P13,INDEX(Ricette!$H$2:$H$9, RANDBETWEEN(1,COUNTA(Ricette!$H$2:$H$14))),"")</f>
        <v/>
      </c>
    </row>
    <row r="14" spans="1:27" x14ac:dyDescent="0.25">
      <c r="A14">
        <v>0</v>
      </c>
      <c r="B14" t="str" cm="1">
        <f t="array" aca="1" ref="B14" ca="1">IFERROR(IF(INDEX($J$4:$O$6,QUOTIENT(A14,6)+1,MOD(A14,6)+1)=TRUE,TRUE,FALSE),"")</f>
        <v/>
      </c>
      <c r="C14">
        <f t="shared" ref="C14:C31" ca="1" si="0">IF(B14=TRUE,C13+1,C13)</f>
        <v>0</v>
      </c>
      <c r="D14" t="str" cm="1">
        <f t="array" aca="1" ref="D14" ca="1">IFERROR(IF(INDEX($J$4:$O$6,QUOTIENT(A14,6)+1,MOD(A14,6)+1)=TRUE,INDEX($B$4:$G$6,QUOTIENT(A14,6)+1,MOD(A14,6)+1)&amp;" con "&amp;INDEX($Q$4:$Q$11,C14),INDEX($B$4:$G$6,QUOTIENT(A14,6)+1,MOD(A14,6)+1)),"")</f>
        <v/>
      </c>
    </row>
    <row r="15" spans="1:27" x14ac:dyDescent="0.25">
      <c r="A15">
        <v>1</v>
      </c>
      <c r="B15" t="str" cm="1">
        <f t="array" aca="1" ref="B15" ca="1">IFERROR(IF(INDEX($J$4:$O$6,QUOTIENT(A15,6)+1,MOD(A15,6)+1)=TRUE,TRUE,FALSE),"")</f>
        <v/>
      </c>
      <c r="C15">
        <f t="shared" ca="1" si="0"/>
        <v>0</v>
      </c>
      <c r="D15" t="str" cm="1">
        <f t="array" aca="1" ref="D15" ca="1">IFERROR(IF(INDEX($J$4:$O$6,QUOTIENT(A15,6)+1,MOD(A15,6)+1)=TRUE,INDEX($B$4:$G$6,QUOTIENT(A15,6)+1,MOD(A15,6)+1)&amp;" con "&amp;INDEX($Q$4:$Q$11,C15),INDEX($B$4:$G$6,QUOTIENT(A15,6)+1,MOD(A15,6)+1)),"")</f>
        <v/>
      </c>
    </row>
    <row r="16" spans="1:27" x14ac:dyDescent="0.25">
      <c r="A16">
        <v>2</v>
      </c>
      <c r="B16" t="str" cm="1">
        <f t="array" aca="1" ref="B16" ca="1">IFERROR(IF(INDEX($J$4:$O$6,QUOTIENT(A16,6)+1,MOD(A16,6)+1)=TRUE,TRUE,FALSE),"")</f>
        <v/>
      </c>
      <c r="C16">
        <f t="shared" ca="1" si="0"/>
        <v>0</v>
      </c>
      <c r="D16" t="str" cm="1">
        <f t="array" aca="1" ref="D16" ca="1">IFERROR(IF(INDEX($J$4:$O$6,QUOTIENT(A16,6)+1,MOD(A16,6)+1)=TRUE,INDEX($B$4:$G$6,QUOTIENT(A16,6)+1,MOD(A16,6)+1)&amp;" con "&amp;INDEX($Q$4:$Q$11,C16),INDEX($B$4:$G$6,QUOTIENT(A16,6)+1,MOD(A16,6)+1)),"")</f>
        <v/>
      </c>
    </row>
    <row r="17" spans="1:4" x14ac:dyDescent="0.25">
      <c r="A17">
        <v>3</v>
      </c>
      <c r="B17" t="str" cm="1">
        <f t="array" aca="1" ref="B17" ca="1">IFERROR(IF(INDEX($J$4:$O$6,QUOTIENT(A17,6)+1,MOD(A17,6)+1)=TRUE,TRUE,FALSE),"")</f>
        <v/>
      </c>
      <c r="C17">
        <f t="shared" ca="1" si="0"/>
        <v>0</v>
      </c>
      <c r="D17" t="str" cm="1">
        <f t="array" aca="1" ref="D17" ca="1">IFERROR(IF(INDEX($J$4:$O$6,QUOTIENT(A17,6)+1,MOD(A17,6)+1)=TRUE,INDEX($B$4:$G$6,QUOTIENT(A17,6)+1,MOD(A17,6)+1)&amp;" con "&amp;INDEX($Q$4:$Q$11,C17),INDEX($B$4:$G$6,QUOTIENT(A17,6)+1,MOD(A17,6)+1)),"")</f>
        <v/>
      </c>
    </row>
    <row r="18" spans="1:4" x14ac:dyDescent="0.25">
      <c r="A18">
        <v>4</v>
      </c>
      <c r="B18" t="b" cm="1">
        <f t="array" aca="1" ref="B18" ca="1">IFERROR(IF(INDEX($J$4:$O$6,QUOTIENT(A18,6)+1,MOD(A18,6)+1)=TRUE,TRUE,FALSE),"")</f>
        <v>1</v>
      </c>
      <c r="C18">
        <f t="shared" ca="1" si="0"/>
        <v>1</v>
      </c>
      <c r="D18" t="str" cm="1">
        <f t="array" aca="1" ref="D18" ca="1">IFERROR(IF(INDEX($J$4:$O$6,QUOTIENT(A18,6)+1,MOD(A18,6)+1)=TRUE,INDEX($B$4:$G$6,QUOTIENT(A18,6)+1,MOD(A18,6)+1)&amp;" con "&amp;INDEX($Q$4:$Q$11,C18),INDEX($B$4:$G$6,QUOTIENT(A18,6)+1,MOD(A18,6)+1)),"")</f>
        <v>Tonno e fagioli  con asparagi croccantini</v>
      </c>
    </row>
    <row r="19" spans="1:4" x14ac:dyDescent="0.25">
      <c r="A19">
        <v>5</v>
      </c>
      <c r="B19" t="b" cm="1">
        <f t="array" aca="1" ref="B19" ca="1">IFERROR(IF(INDEX($J$4:$O$6,QUOTIENT(A19,6)+1,MOD(A19,6)+1)=TRUE,TRUE,FALSE),"")</f>
        <v>0</v>
      </c>
      <c r="C19">
        <f t="shared" ca="1" si="0"/>
        <v>1</v>
      </c>
      <c r="D19" t="str" cm="1">
        <f t="array" aca="1" ref="D19" ca="1">IFERROR(IF(INDEX($J$4:$O$6,QUOTIENT(A19,6)+1,MOD(A19,6)+1)=TRUE,INDEX($B$4:$G$6,QUOTIENT(A19,6)+1,MOD(A19,6)+1)&amp;" con "&amp;INDEX($Q$4:$Q$11,C19),INDEX($B$4:$G$6,QUOTIENT(A19,6)+1,MOD(A19,6)+1)),"")</f>
        <v xml:space="preserve">Zuppa di carote </v>
      </c>
    </row>
    <row r="20" spans="1:4" x14ac:dyDescent="0.25">
      <c r="A20">
        <v>6</v>
      </c>
      <c r="B20" t="str" cm="1">
        <f t="array" aca="1" ref="B20" ca="1">IFERROR(IF(INDEX($J$4:$O$6,QUOTIENT(A20,6)+1,MOD(A20,6)+1)=TRUE,TRUE,FALSE),"")</f>
        <v/>
      </c>
      <c r="C20">
        <f t="shared" ca="1" si="0"/>
        <v>1</v>
      </c>
      <c r="D20" t="str" cm="1">
        <f t="array" aca="1" ref="D20" ca="1">IFERROR(IF(INDEX($J$4:$O$6,QUOTIENT(A20,6)+1,MOD(A20,6)+1)=TRUE,INDEX($B$4:$G$6,QUOTIENT(A20,6)+1,MOD(A20,6)+1)&amp;" con "&amp;INDEX($Q$4:$Q$11,C20),INDEX($B$4:$G$6,QUOTIENT(A20,6)+1,MOD(A20,6)+1)),"")</f>
        <v/>
      </c>
    </row>
    <row r="21" spans="1:4" x14ac:dyDescent="0.25">
      <c r="A21">
        <v>7</v>
      </c>
      <c r="B21" t="str" cm="1">
        <f t="array" aca="1" ref="B21" ca="1">IFERROR(IF(INDEX($J$4:$O$6,QUOTIENT(A21,6)+1,MOD(A21,6)+1)=TRUE,TRUE,FALSE),"")</f>
        <v/>
      </c>
      <c r="C21">
        <f t="shared" ca="1" si="0"/>
        <v>1</v>
      </c>
      <c r="D21" t="str" cm="1">
        <f t="array" aca="1" ref="D21" ca="1">IFERROR(IF(INDEX($J$4:$O$6,QUOTIENT(A21,6)+1,MOD(A21,6)+1)=TRUE,INDEX($B$4:$G$6,QUOTIENT(A21,6)+1,MOD(A21,6)+1)&amp;" con "&amp;INDEX($Q$4:$Q$11,C21),INDEX($B$4:$G$6,QUOTIENT(A21,6)+1,MOD(A21,6)+1)),"")</f>
        <v/>
      </c>
    </row>
    <row r="22" spans="1:4" x14ac:dyDescent="0.25">
      <c r="A22">
        <v>8</v>
      </c>
      <c r="B22" t="str" cm="1">
        <f t="array" aca="1" ref="B22" ca="1">IFERROR(IF(INDEX($J$4:$O$6,QUOTIENT(A22,6)+1,MOD(A22,6)+1)=TRUE,TRUE,FALSE),"")</f>
        <v/>
      </c>
      <c r="C22">
        <f t="shared" ca="1" si="0"/>
        <v>1</v>
      </c>
      <c r="D22" t="str" cm="1">
        <f t="array" aca="1" ref="D22" ca="1">IFERROR(IF(INDEX($J$4:$O$6,QUOTIENT(A22,6)+1,MOD(A22,6)+1)=TRUE,INDEX($B$4:$G$6,QUOTIENT(A22,6)+1,MOD(A22,6)+1)&amp;" con "&amp;INDEX($Q$4:$Q$11,C22),INDEX($B$4:$G$6,QUOTIENT(A22,6)+1,MOD(A22,6)+1)),"")</f>
        <v/>
      </c>
    </row>
    <row r="23" spans="1:4" x14ac:dyDescent="0.25">
      <c r="A23">
        <v>9</v>
      </c>
      <c r="B23" t="str" cm="1">
        <f t="array" aca="1" ref="B23" ca="1">IFERROR(IF(INDEX($J$4:$O$6,QUOTIENT(A23,6)+1,MOD(A23,6)+1)=TRUE,TRUE,FALSE),"")</f>
        <v/>
      </c>
      <c r="C23">
        <f t="shared" ca="1" si="0"/>
        <v>1</v>
      </c>
      <c r="D23" t="str" cm="1">
        <f t="array" aca="1" ref="D23" ca="1">IFERROR(IF(INDEX($J$4:$O$6,QUOTIENT(A23,6)+1,MOD(A23,6)+1)=TRUE,INDEX($B$4:$G$6,QUOTIENT(A23,6)+1,MOD(A23,6)+1)&amp;" con "&amp;INDEX($Q$4:$Q$11,C23),INDEX($B$4:$G$6,QUOTIENT(A23,6)+1,MOD(A23,6)+1)),"")</f>
        <v/>
      </c>
    </row>
    <row r="24" spans="1:4" x14ac:dyDescent="0.25">
      <c r="A24">
        <v>10</v>
      </c>
      <c r="B24" t="b" cm="1">
        <f t="array" aca="1" ref="B24" ca="1">IFERROR(IF(INDEX($J$4:$O$6,QUOTIENT(A24,6)+1,MOD(A24,6)+1)=TRUE,TRUE,FALSE),"")</f>
        <v>1</v>
      </c>
      <c r="C24">
        <f t="shared" ca="1" si="0"/>
        <v>2</v>
      </c>
      <c r="D24" t="str" cm="1">
        <f t="array" aca="1" ref="D24" ca="1">IFERROR(IF(INDEX($J$4:$O$6,QUOTIENT(A24,6)+1,MOD(A24,6)+1)=TRUE,INDEX($B$4:$G$6,QUOTIENT(A24,6)+1,MOD(A24,6)+1)&amp;" con "&amp;INDEX($Q$4:$Q$11,C24),INDEX($B$4:$G$6,QUOTIENT(A24,6)+1,MOD(A24,6)+1)),"")</f>
        <v>Dal di lenticchie  con fagiolini</v>
      </c>
    </row>
    <row r="25" spans="1:4" x14ac:dyDescent="0.25">
      <c r="A25">
        <v>11</v>
      </c>
      <c r="B25" t="b" cm="1">
        <f t="array" aca="1" ref="B25" ca="1">IFERROR(IF(INDEX($J$4:$O$6,QUOTIENT(A25,6)+1,MOD(A25,6)+1)=TRUE,TRUE,FALSE),"")</f>
        <v>0</v>
      </c>
      <c r="C25">
        <f t="shared" ca="1" si="0"/>
        <v>2</v>
      </c>
      <c r="D25" t="str" cm="1">
        <f t="array" aca="1" ref="D25" ca="1">IFERROR(IF(INDEX($J$4:$O$6,QUOTIENT(A25,6)+1,MOD(A25,6)+1)=TRUE,INDEX($B$4:$G$6,QUOTIENT(A25,6)+1,MOD(A25,6)+1)&amp;" con "&amp;INDEX($Q$4:$Q$11,C25),INDEX($B$4:$G$6,QUOTIENT(A25,6)+1,MOD(A25,6)+1)),"")</f>
        <v>Melanzane con melograno</v>
      </c>
    </row>
    <row r="26" spans="1:4" x14ac:dyDescent="0.25">
      <c r="A26">
        <v>12</v>
      </c>
      <c r="B26" t="str" cm="1">
        <f t="array" aca="1" ref="B26" ca="1">IFERROR(IF(INDEX($J$4:$O$6,QUOTIENT(A26,6)+1,MOD(A26,6)+1)=TRUE,TRUE,FALSE),"")</f>
        <v/>
      </c>
      <c r="C26">
        <f t="shared" ca="1" si="0"/>
        <v>2</v>
      </c>
      <c r="D26" t="str" cm="1">
        <f t="array" aca="1" ref="D26" ca="1">IFERROR(IF(INDEX($J$4:$O$6,QUOTIENT(A26,6)+1,MOD(A26,6)+1)=TRUE,INDEX($B$4:$G$6,QUOTIENT(A26,6)+1,MOD(A26,6)+1)&amp;" con "&amp;INDEX($Q$4:$Q$11,C26),INDEX($B$4:$G$6,QUOTIENT(A26,6)+1,MOD(A26,6)+1)),"")</f>
        <v/>
      </c>
    </row>
    <row r="27" spans="1:4" x14ac:dyDescent="0.25">
      <c r="A27">
        <v>13</v>
      </c>
      <c r="B27" t="str" cm="1">
        <f t="array" aca="1" ref="B27" ca="1">IFERROR(IF(INDEX($J$4:$O$6,QUOTIENT(A27,6)+1,MOD(A27,6)+1)=TRUE,TRUE,FALSE),"")</f>
        <v/>
      </c>
      <c r="C27">
        <f t="shared" ca="1" si="0"/>
        <v>2</v>
      </c>
      <c r="D27" t="str" cm="1">
        <f t="array" aca="1" ref="D27" ca="1">IFERROR(IF(INDEX($J$4:$O$6,QUOTIENT(A27,6)+1,MOD(A27,6)+1)=TRUE,INDEX($B$4:$G$6,QUOTIENT(A27,6)+1,MOD(A27,6)+1)&amp;" con "&amp;INDEX($Q$4:$Q$11,C27),INDEX($B$4:$G$6,QUOTIENT(A27,6)+1,MOD(A27,6)+1)),"")</f>
        <v/>
      </c>
    </row>
    <row r="28" spans="1:4" x14ac:dyDescent="0.25">
      <c r="A28">
        <v>14</v>
      </c>
      <c r="B28" t="str" cm="1">
        <f t="array" aca="1" ref="B28" ca="1">IFERROR(IF(INDEX($J$4:$O$6,QUOTIENT(A28,6)+1,MOD(A28,6)+1)=TRUE,TRUE,FALSE),"")</f>
        <v/>
      </c>
      <c r="C28">
        <f t="shared" ca="1" si="0"/>
        <v>2</v>
      </c>
      <c r="D28" t="str" cm="1">
        <f t="array" aca="1" ref="D28" ca="1">IFERROR(IF(INDEX($J$4:$O$6,QUOTIENT(A28,6)+1,MOD(A28,6)+1)=TRUE,INDEX($B$4:$G$6,QUOTIENT(A28,6)+1,MOD(A28,6)+1)&amp;" con "&amp;INDEX($Q$4:$Q$11,C28),INDEX($B$4:$G$6,QUOTIENT(A28,6)+1,MOD(A28,6)+1)),"")</f>
        <v/>
      </c>
    </row>
    <row r="29" spans="1:4" x14ac:dyDescent="0.25">
      <c r="A29">
        <v>15</v>
      </c>
      <c r="B29" t="str" cm="1">
        <f t="array" aca="1" ref="B29" ca="1">IFERROR(IF(INDEX($J$4:$O$6,QUOTIENT(A29,6)+1,MOD(A29,6)+1)=TRUE,TRUE,FALSE),"")</f>
        <v/>
      </c>
      <c r="C29">
        <f t="shared" ca="1" si="0"/>
        <v>2</v>
      </c>
      <c r="D29" t="str" cm="1">
        <f t="array" aca="1" ref="D29" ca="1">IFERROR(IF(INDEX($J$4:$O$6,QUOTIENT(A29,6)+1,MOD(A29,6)+1)=TRUE,INDEX($B$4:$G$6,QUOTIENT(A29,6)+1,MOD(A29,6)+1)&amp;" con "&amp;INDEX($Q$4:$Q$11,C29),INDEX($B$4:$G$6,QUOTIENT(A29,6)+1,MOD(A29,6)+1)),"")</f>
        <v/>
      </c>
    </row>
    <row r="30" spans="1:4" x14ac:dyDescent="0.25">
      <c r="A30">
        <v>16</v>
      </c>
      <c r="B30" t="b" cm="1">
        <f t="array" aca="1" ref="B30" ca="1">IFERROR(IF(INDEX($J$4:$O$6,QUOTIENT(A30,6)+1,MOD(A30,6)+1)=TRUE,TRUE,FALSE),"")</f>
        <v>1</v>
      </c>
      <c r="C30">
        <f t="shared" ca="1" si="0"/>
        <v>3</v>
      </c>
      <c r="D30" t="str" cm="1">
        <f t="array" aca="1" ref="D30" ca="1">IFERROR(IF(INDEX($J$4:$O$6,QUOTIENT(A30,6)+1,MOD(A30,6)+1)=TRUE,INDEX($B$4:$G$6,QUOTIENT(A30,6)+1,MOD(A30,6)+1)&amp;" con "&amp;INDEX($Q$4:$Q$11,C30),INDEX($B$4:$G$6,QUOTIENT(A30,6)+1,MOD(A30,6)+1)),"")</f>
        <v xml:space="preserve">Lenticchie e feta  con pak choi </v>
      </c>
    </row>
    <row r="31" spans="1:4" x14ac:dyDescent="0.25">
      <c r="A31">
        <v>17</v>
      </c>
      <c r="B31" t="b" cm="1">
        <f t="array" aca="1" ref="B31" ca="1">IFERROR(IF(INDEX($J$4:$O$6,QUOTIENT(A31,6)+1,MOD(A31,6)+1)=TRUE,TRUE,FALSE),"")</f>
        <v>1</v>
      </c>
      <c r="C31">
        <f t="shared" ca="1" si="0"/>
        <v>4</v>
      </c>
      <c r="D31" t="str" cm="1">
        <f t="array" aca="1" ref="D31" ca="1">IFERROR(IF(INDEX($J$4:$O$6,QUOTIENT(A31,6)+1,MOD(A31,6)+1)=TRUE,INDEX($B$4:$G$6,QUOTIENT(A31,6)+1,MOD(A31,6)+1)&amp;" con "&amp;INDEX($Q$4:$Q$11,C31),INDEX($B$4:$G$6,QUOTIENT(A31,6)+1,MOD(A31,6)+1)),"")</f>
        <v>Pasta e fagioli con insalata di pomodori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1377-8634-4B23-84D7-D1293767C1B0}">
  <dimension ref="B1:R28"/>
  <sheetViews>
    <sheetView tabSelected="1" workbookViewId="0">
      <selection activeCell="H8" sqref="H8"/>
    </sheetView>
  </sheetViews>
  <sheetFormatPr defaultRowHeight="15" x14ac:dyDescent="0.25"/>
  <cols>
    <col min="1" max="1" width="29.85546875" customWidth="1"/>
    <col min="2" max="8" width="17.140625" customWidth="1"/>
    <col min="13" max="13" width="13.28515625" bestFit="1" customWidth="1"/>
    <col min="14" max="14" width="11.7109375" bestFit="1" customWidth="1"/>
    <col min="15" max="15" width="9.7109375" bestFit="1" customWidth="1"/>
    <col min="16" max="16" width="10.5703125" bestFit="1" customWidth="1"/>
    <col min="17" max="17" width="13.42578125" bestFit="1" customWidth="1"/>
    <col min="18" max="18" width="13.28515625" bestFit="1" customWidth="1"/>
  </cols>
  <sheetData>
    <row r="1" spans="2:18" ht="15.75" thickBot="1" x14ac:dyDescent="0.3"/>
    <row r="2" spans="2:18" x14ac:dyDescent="0.25">
      <c r="B2" s="20" t="s">
        <v>211</v>
      </c>
      <c r="C2" s="21"/>
      <c r="D2" s="21"/>
      <c r="E2" s="21"/>
      <c r="F2" s="21"/>
      <c r="G2" s="21"/>
      <c r="H2" s="22"/>
    </row>
    <row r="3" spans="2:18" ht="49.5" customHeight="1" thickBot="1" x14ac:dyDescent="0.3">
      <c r="B3" s="23"/>
      <c r="C3" s="24"/>
      <c r="D3" s="24"/>
      <c r="E3" s="24"/>
      <c r="F3" s="24"/>
      <c r="G3" s="24"/>
      <c r="H3" s="25"/>
    </row>
    <row r="4" spans="2:18" ht="24.75" thickBot="1" x14ac:dyDescent="0.45">
      <c r="B4" s="26" t="s">
        <v>212</v>
      </c>
      <c r="C4" s="27"/>
      <c r="D4" s="27"/>
      <c r="E4" s="27"/>
      <c r="F4" s="27"/>
      <c r="G4" s="27"/>
      <c r="H4" s="28"/>
    </row>
    <row r="5" spans="2:18" ht="15.75" thickBot="1" x14ac:dyDescent="0.3"/>
    <row r="6" spans="2:18" ht="15.75" thickBot="1" x14ac:dyDescent="0.3">
      <c r="B6" s="15" t="s">
        <v>163</v>
      </c>
      <c r="C6" s="14" t="s">
        <v>194</v>
      </c>
      <c r="D6" s="12" t="s">
        <v>195</v>
      </c>
      <c r="E6" s="14" t="s">
        <v>196</v>
      </c>
      <c r="F6" s="12" t="s">
        <v>197</v>
      </c>
      <c r="G6" s="14" t="s">
        <v>198</v>
      </c>
      <c r="H6" s="13" t="s">
        <v>199</v>
      </c>
    </row>
    <row r="7" spans="2:18" ht="37.5" customHeight="1" thickBot="1" x14ac:dyDescent="0.3">
      <c r="B7" s="18" t="s">
        <v>202</v>
      </c>
      <c r="C7" s="4">
        <v>0</v>
      </c>
      <c r="D7" s="4">
        <v>0</v>
      </c>
      <c r="E7" s="4">
        <v>0</v>
      </c>
      <c r="F7" s="4">
        <v>0</v>
      </c>
      <c r="G7" s="4">
        <v>3</v>
      </c>
      <c r="H7" s="5">
        <v>3</v>
      </c>
    </row>
    <row r="8" spans="2:18" x14ac:dyDescent="0.25">
      <c r="Q8" s="2"/>
    </row>
    <row r="9" spans="2:18" x14ac:dyDescent="0.25">
      <c r="Q9" s="2"/>
    </row>
    <row r="10" spans="2:18" x14ac:dyDescent="0.25">
      <c r="B10" s="29" t="str">
        <f>"Ricette per i prossimi "&amp;calcs!H3&amp;" giorni:"</f>
        <v>Ricette per i prossimi 6 giorni:</v>
      </c>
      <c r="C10" s="30"/>
      <c r="D10" s="30"/>
      <c r="E10" s="30"/>
      <c r="F10" s="30"/>
      <c r="G10" s="30"/>
      <c r="H10" s="31"/>
    </row>
    <row r="11" spans="2:18" x14ac:dyDescent="0.25">
      <c r="B11" s="6" t="str" cm="1">
        <f t="array" aca="1" ref="B11:B28" ca="1">_xlfn._xlws.SORT(calcs!D14:D31,1,-1)</f>
        <v xml:space="preserve">Zuppa di carote </v>
      </c>
      <c r="C11" s="7"/>
      <c r="D11" s="7"/>
      <c r="E11" s="7"/>
      <c r="F11" s="7"/>
      <c r="G11" s="7"/>
      <c r="H11" s="8"/>
    </row>
    <row r="12" spans="2:18" x14ac:dyDescent="0.25">
      <c r="B12" s="6" t="str">
        <f ca="1"/>
        <v>Tonno e fagioli  con asparagi croccantini</v>
      </c>
      <c r="C12" s="7"/>
      <c r="D12" s="7"/>
      <c r="E12" s="7"/>
      <c r="F12" s="7"/>
      <c r="G12" s="7"/>
      <c r="H12" s="8"/>
      <c r="O12" s="16"/>
      <c r="P12" s="16"/>
      <c r="Q12" s="16"/>
    </row>
    <row r="13" spans="2:18" x14ac:dyDescent="0.25">
      <c r="B13" s="6" t="str">
        <f ca="1"/>
        <v>Pasta e fagioli con insalata di pomodori</v>
      </c>
      <c r="C13" s="7"/>
      <c r="D13" s="7"/>
      <c r="E13" s="7"/>
      <c r="F13" s="7"/>
      <c r="G13" s="7"/>
      <c r="H13" s="8"/>
    </row>
    <row r="14" spans="2:18" x14ac:dyDescent="0.25">
      <c r="B14" s="6" t="str">
        <f ca="1"/>
        <v>Melanzane con melograno</v>
      </c>
      <c r="C14" s="7"/>
      <c r="D14" s="7"/>
      <c r="E14" s="7"/>
      <c r="F14" s="7"/>
      <c r="G14" s="7"/>
      <c r="H14" s="8"/>
    </row>
    <row r="15" spans="2:18" x14ac:dyDescent="0.25">
      <c r="B15" s="6" t="str">
        <f ca="1"/>
        <v xml:space="preserve">Lenticchie e feta  con pak choi </v>
      </c>
      <c r="C15" s="7"/>
      <c r="D15" s="7"/>
      <c r="E15" s="7"/>
      <c r="F15" s="7"/>
      <c r="G15" s="7"/>
      <c r="H15" s="8"/>
      <c r="M15" s="17"/>
      <c r="N15" s="17"/>
      <c r="O15" s="17"/>
      <c r="P15" s="17"/>
      <c r="Q15" s="17"/>
    </row>
    <row r="16" spans="2:18" x14ac:dyDescent="0.25">
      <c r="B16" s="6" t="str">
        <f ca="1"/>
        <v>Dal di lenticchie  con fagiolini</v>
      </c>
      <c r="C16" s="7"/>
      <c r="D16" s="7"/>
      <c r="E16" s="7"/>
      <c r="F16" s="7"/>
      <c r="G16" s="7"/>
      <c r="H16" s="8"/>
      <c r="N16" s="16"/>
      <c r="O16" s="17"/>
      <c r="Q16" s="19"/>
      <c r="R16" s="17"/>
    </row>
    <row r="17" spans="2:17" x14ac:dyDescent="0.25">
      <c r="B17" s="6" t="str">
        <f ca="1"/>
        <v/>
      </c>
      <c r="C17" s="7"/>
      <c r="D17" s="7"/>
      <c r="E17" s="7"/>
      <c r="F17" s="7"/>
      <c r="G17" s="7"/>
      <c r="H17" s="8"/>
      <c r="O17" s="17"/>
      <c r="Q17" s="2"/>
    </row>
    <row r="18" spans="2:17" x14ac:dyDescent="0.25">
      <c r="B18" s="6" t="str">
        <f ca="1"/>
        <v/>
      </c>
      <c r="C18" s="7"/>
      <c r="D18" s="7"/>
      <c r="E18" s="7"/>
      <c r="F18" s="7"/>
      <c r="G18" s="7"/>
      <c r="H18" s="8"/>
      <c r="Q18" s="2"/>
    </row>
    <row r="19" spans="2:17" x14ac:dyDescent="0.25">
      <c r="B19" s="6" t="str">
        <f ca="1"/>
        <v/>
      </c>
      <c r="C19" s="7"/>
      <c r="D19" s="7"/>
      <c r="E19" s="7"/>
      <c r="F19" s="7"/>
      <c r="G19" s="7"/>
      <c r="H19" s="8"/>
      <c r="Q19" s="2"/>
    </row>
    <row r="20" spans="2:17" x14ac:dyDescent="0.25">
      <c r="B20" s="6" t="str">
        <f ca="1"/>
        <v/>
      </c>
      <c r="C20" s="7"/>
      <c r="D20" s="7"/>
      <c r="E20" s="7"/>
      <c r="F20" s="7"/>
      <c r="G20" s="7"/>
      <c r="H20" s="8"/>
    </row>
    <row r="21" spans="2:17" x14ac:dyDescent="0.25">
      <c r="B21" s="6" t="str">
        <f ca="1"/>
        <v/>
      </c>
      <c r="C21" s="7"/>
      <c r="D21" s="7"/>
      <c r="E21" s="7"/>
      <c r="F21" s="7"/>
      <c r="G21" s="7"/>
      <c r="H21" s="8"/>
    </row>
    <row r="22" spans="2:17" x14ac:dyDescent="0.25">
      <c r="B22" s="6" t="str">
        <f ca="1"/>
        <v/>
      </c>
      <c r="C22" s="7"/>
      <c r="D22" s="7"/>
      <c r="E22" s="7"/>
      <c r="F22" s="7"/>
      <c r="G22" s="7"/>
      <c r="H22" s="8"/>
    </row>
    <row r="23" spans="2:17" x14ac:dyDescent="0.25">
      <c r="B23" s="6" t="str">
        <f ca="1"/>
        <v/>
      </c>
      <c r="C23" s="7"/>
      <c r="D23" s="7"/>
      <c r="E23" s="7"/>
      <c r="F23" s="7"/>
      <c r="G23" s="7"/>
      <c r="H23" s="8"/>
    </row>
    <row r="24" spans="2:17" x14ac:dyDescent="0.25">
      <c r="B24" s="6" t="str">
        <f ca="1"/>
        <v/>
      </c>
      <c r="C24" s="7"/>
      <c r="D24" s="7"/>
      <c r="E24" s="7"/>
      <c r="F24" s="7"/>
      <c r="G24" s="7"/>
      <c r="H24" s="8"/>
    </row>
    <row r="25" spans="2:17" x14ac:dyDescent="0.25">
      <c r="B25" s="6" t="str">
        <f ca="1"/>
        <v/>
      </c>
      <c r="C25" s="7"/>
      <c r="D25" s="7"/>
      <c r="E25" s="7"/>
      <c r="F25" s="7"/>
      <c r="G25" s="7"/>
      <c r="H25" s="8"/>
    </row>
    <row r="26" spans="2:17" x14ac:dyDescent="0.25">
      <c r="B26" s="6" t="str">
        <f ca="1"/>
        <v/>
      </c>
      <c r="C26" s="7"/>
      <c r="D26" s="7"/>
      <c r="E26" s="7"/>
      <c r="F26" s="7"/>
      <c r="G26" s="7"/>
      <c r="H26" s="8"/>
    </row>
    <row r="27" spans="2:17" x14ac:dyDescent="0.25">
      <c r="B27" s="6" t="str">
        <f ca="1"/>
        <v/>
      </c>
      <c r="C27" s="7"/>
      <c r="D27" s="7"/>
      <c r="E27" s="7"/>
      <c r="F27" s="7"/>
      <c r="G27" s="7"/>
      <c r="H27" s="8"/>
    </row>
    <row r="28" spans="2:17" x14ac:dyDescent="0.25">
      <c r="B28" s="9" t="str">
        <f ca="1"/>
        <v/>
      </c>
      <c r="C28" s="10"/>
      <c r="D28" s="10"/>
      <c r="E28" s="10"/>
      <c r="F28" s="10"/>
      <c r="G28" s="10"/>
      <c r="H28" s="11"/>
    </row>
  </sheetData>
  <mergeCells count="3">
    <mergeCell ref="B2:H3"/>
    <mergeCell ref="B4:H4"/>
    <mergeCell ref="B10:H10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33EDF4-5A00-40CE-8CB8-DE5423FC0A19}">
          <x14:formula1>
            <xm:f>calcs!$AA$2:$AA$5</xm:f>
          </x14:formula1>
          <xm:sqref>C7:H7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Ricette</vt:lpstr>
      <vt:lpstr>calcs</vt:lpstr>
      <vt:lpstr>RDG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nardini</dc:creator>
  <cp:lastModifiedBy>lorenzo nardini</cp:lastModifiedBy>
  <dcterms:created xsi:type="dcterms:W3CDTF">2024-08-02T11:38:36Z</dcterms:created>
  <dcterms:modified xsi:type="dcterms:W3CDTF">2026-05-24T07:56:36Z</dcterms:modified>
</cp:coreProperties>
</file>